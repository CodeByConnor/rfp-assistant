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Vendor Profile" sheetId="2" state="visible" r:id="rId2"/>
    <sheet name="Functional" sheetId="3" state="visible" r:id="rId3"/>
    <sheet name="Technical" sheetId="4" state="visible" r:id="rId4"/>
    <sheet name="Security" sheetId="5" state="visible" r:id="rId5"/>
    <sheet name="Privacy" sheetId="6" state="visible" r:id="rId6"/>
    <sheet name="Implementation" sheetId="7" state="visible" r:id="rId7"/>
    <sheet name="Support" sheetId="8" state="visible" r:id="rId8"/>
    <sheet name="Commercial" sheetId="9" state="visible" r:id="rId9"/>
    <sheet name="Pricing Workbook" sheetId="10" state="visible" r:id="rId10"/>
    <sheet name="Scoring Summary" sheetId="11" state="visible" r:id="rId11"/>
    <sheet name="Exceptions Log" sheetId="12" state="visible" r:id="rId12"/>
  </sheets>
  <definedNames>
    <definedName name="_xlnm._FilterDatabase" localSheetId="2" hidden="1">'Functional'!$A$8:$I$90</definedName>
    <definedName name="_xlnm._FilterDatabase" localSheetId="3" hidden="1">'Technical'!$A$8:$I$59</definedName>
    <definedName name="_xlnm._FilterDatabase" localSheetId="4" hidden="1">'Security'!$A$8:$I$76</definedName>
    <definedName name="_xlnm._FilterDatabase" localSheetId="5" hidden="1">'Privacy'!$A$8:$I$33</definedName>
    <definedName name="_xlnm._FilterDatabase" localSheetId="6" hidden="1">'Implementation'!$A$8:$I$23</definedName>
    <definedName name="_xlnm._FilterDatabase" localSheetId="7" hidden="1">'Support'!$A$8:$I$23</definedName>
    <definedName name="_xlnm._FilterDatabase" localSheetId="8" hidden="1">'Commercial'!$A$8:$I$25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,000"/>
    <numFmt numFmtId="166" formatCode="0.0%"/>
    <numFmt numFmtId="167" formatCode="$#,##0"/>
    <numFmt numFmtId="168" formatCode="$#,##0.0000"/>
    <numFmt numFmtId="169" formatCode="$#,##0;($#,##0);-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2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b val="1"/>
      <sz val="14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0" fillId="0" borderId="1" pivotButton="0" quotePrefix="0" xfId="0"/>
    <xf numFmtId="0" fontId="3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164" fontId="4" fillId="6" borderId="1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165" fontId="9" fillId="6" borderId="1" applyAlignment="1" pivotButton="0" quotePrefix="0" xfId="0">
      <alignment vertical="top"/>
    </xf>
    <xf numFmtId="166" fontId="9" fillId="6" borderId="1" applyAlignment="1" pivotButton="0" quotePrefix="0" xfId="0">
      <alignment vertical="top"/>
    </xf>
    <xf numFmtId="167" fontId="9" fillId="2" borderId="1" applyAlignment="1" pivotButton="0" quotePrefix="0" xfId="0">
      <alignment vertical="top"/>
    </xf>
    <xf numFmtId="166" fontId="9" fillId="2" borderId="1" applyAlignment="1" pivotButton="0" quotePrefix="0" xfId="0">
      <alignment vertical="top"/>
    </xf>
    <xf numFmtId="168" fontId="9" fillId="2" borderId="1" applyAlignment="1" pivotButton="0" quotePrefix="0" xfId="0">
      <alignment vertical="top"/>
    </xf>
    <xf numFmtId="165" fontId="9" fillId="2" borderId="1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165" fontId="4" fillId="0" borderId="1" applyAlignment="1" pivotButton="0" quotePrefix="0" xfId="0">
      <alignment vertical="top"/>
    </xf>
    <xf numFmtId="167" fontId="4" fillId="0" borderId="1" applyAlignment="1" pivotButton="0" quotePrefix="0" xfId="0">
      <alignment vertical="top"/>
    </xf>
    <xf numFmtId="169" fontId="4" fillId="0" borderId="1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167" fontId="3" fillId="6" borderId="1" applyAlignment="1" pivotButton="0" quotePrefix="0" xfId="0">
      <alignment vertical="top"/>
    </xf>
    <xf numFmtId="167" fontId="2" fillId="0" borderId="0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2" fontId="9" fillId="0" borderId="1" applyAlignment="1" pivotButton="0" quotePrefix="0" xfId="0">
      <alignment vertical="top"/>
    </xf>
    <xf numFmtId="166" fontId="4" fillId="0" borderId="1" applyAlignment="1" pivotButton="0" quotePrefix="0" xfId="0">
      <alignment vertical="top"/>
    </xf>
    <xf numFmtId="166" fontId="3" fillId="6" borderId="1" applyAlignment="1" pivotButton="0" quotePrefix="0" xfId="0">
      <alignment vertical="top"/>
    </xf>
    <xf numFmtId="0" fontId="6" fillId="4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Alderwood Retail Group - Request for Proposal</t>
        </is>
      </c>
    </row>
    <row r="2">
      <c r="A2" s="2" t="inlineStr">
        <is>
          <t>Customer Data Platform</t>
        </is>
      </c>
    </row>
    <row r="4">
      <c r="A4" s="3" t="inlineStr">
        <is>
          <t>RFP reference</t>
        </is>
      </c>
      <c r="B4" s="4" t="inlineStr">
        <is>
          <t>ARG-CDP-2026-014</t>
        </is>
      </c>
    </row>
    <row r="5">
      <c r="A5" s="3" t="inlineStr">
        <is>
          <t>Issued</t>
        </is>
      </c>
      <c r="B5" s="4" t="inlineStr">
        <is>
          <t>1 July 2026</t>
        </is>
      </c>
    </row>
    <row r="6">
      <c r="A6" s="3" t="inlineStr">
        <is>
          <t>Clarification questions due</t>
        </is>
      </c>
      <c r="B6" s="4" t="inlineStr">
        <is>
          <t>25 July 2026</t>
        </is>
      </c>
    </row>
    <row r="7">
      <c r="A7" s="3" t="inlineStr">
        <is>
          <t>Responses due</t>
        </is>
      </c>
      <c r="B7" s="4" t="inlineStr">
        <is>
          <t>15 August 2026, 5:00 p.m. Pacific</t>
        </is>
      </c>
    </row>
    <row r="8">
      <c r="A8" s="3" t="inlineStr">
        <is>
          <t>Submit to</t>
        </is>
      </c>
      <c r="B8" s="4" t="inlineStr">
        <is>
          <t>procurement@alderwoodretail.example</t>
        </is>
      </c>
    </row>
    <row r="10">
      <c r="A10" s="2" t="inlineStr">
        <is>
          <t>How to complete this workbook</t>
        </is>
      </c>
    </row>
    <row r="11">
      <c r="B11" s="5" t="inlineStr">
        <is>
          <t>Complete every shaded response cell on each of the eight requirement tabs.</t>
        </is>
      </c>
    </row>
    <row r="12">
      <c r="B12" s="5" t="inlineStr">
        <is>
          <t>Columns shaded in cream are completed by the vendor. Columns shaded in grey are set by Alderwood and must not be edited.</t>
        </is>
      </c>
    </row>
    <row r="13">
      <c r="B13" s="5" t="inlineStr">
        <is>
          <t>Each requirement tab carries an EXAMPLE row directly beneath the header. It is illustrative only and must not be answered.</t>
        </is>
      </c>
    </row>
    <row r="14">
      <c r="B14" s="5" t="inlineStr">
        <is>
          <t>Where a requirement is answered elsewhere in this workbook, still provide a response. Cross-references alone will be scored as non-responsive.</t>
        </is>
      </c>
    </row>
    <row r="15">
      <c r="B15" s="5" t="inlineStr">
        <is>
          <t>Exceptions to Alderwood's terms must be recorded on the Exceptions Log tab, not in the requirement comments.</t>
        </is>
      </c>
    </row>
    <row r="17">
      <c r="A17" s="2" t="inlineStr">
        <is>
          <t>Compliance level definitions</t>
        </is>
      </c>
    </row>
    <row r="18">
      <c r="A18" s="6" t="inlineStr">
        <is>
          <t>Standard</t>
        </is>
      </c>
      <c r="B18" s="5" t="inlineStr">
        <is>
          <t>Available out of the box in the current shipping release, with no configuration beyond initial setup.</t>
        </is>
      </c>
    </row>
    <row r="19">
      <c r="A19" s="6" t="inlineStr">
        <is>
          <t>Configuration</t>
        </is>
      </c>
      <c r="B19" s="5" t="inlineStr">
        <is>
          <t>Available in the current release but requires configuration by an administrator. No vendor code changes.</t>
        </is>
      </c>
    </row>
    <row r="20">
      <c r="A20" s="6" t="inlineStr">
        <is>
          <t>Customization</t>
        </is>
      </c>
      <c r="B20" s="5" t="inlineStr">
        <is>
          <t>Requires custom development by the vendor or a partner. Must be itemized in the Cost Impact column.</t>
        </is>
      </c>
    </row>
    <row r="21">
      <c r="A21" s="6" t="inlineStr">
        <is>
          <t>Third-Party</t>
        </is>
      </c>
      <c r="B21" s="5" t="inlineStr">
        <is>
          <t>Delivered by a third-party product or partner. Name the third party and state whether its licence is included.</t>
        </is>
      </c>
    </row>
    <row r="22">
      <c r="A22" s="6" t="inlineStr">
        <is>
          <t>Roadmap</t>
        </is>
      </c>
      <c r="B22" s="5" t="inlineStr">
        <is>
          <t>Not available today but committed on the product roadmap. State the target release and whether the date is contractual.</t>
        </is>
      </c>
    </row>
    <row r="23">
      <c r="A23" s="6" t="inlineStr">
        <is>
          <t>Not Supported</t>
        </is>
      </c>
      <c r="B23" s="5" t="inlineStr">
        <is>
          <t>Not available and not planned.</t>
        </is>
      </c>
    </row>
    <row r="25">
      <c r="A25" s="2" t="inlineStr">
        <is>
          <t>Priority definitions</t>
        </is>
      </c>
    </row>
    <row r="26">
      <c r="A26" s="3" t="inlineStr">
        <is>
          <t>Must</t>
        </is>
      </c>
      <c r="B26" s="5" t="inlineStr">
        <is>
          <t>Mandatory. A 'Not Supported' response against a Must requirement may disqualify the response.</t>
        </is>
      </c>
    </row>
    <row r="27">
      <c r="A27" s="3" t="inlineStr">
        <is>
          <t>Should</t>
        </is>
      </c>
      <c r="B27" s="5" t="inlineStr">
        <is>
          <t>Important but not disqualifying. Scored.</t>
        </is>
      </c>
    </row>
    <row r="28">
      <c r="A28" s="3" t="inlineStr">
        <is>
          <t>Nice</t>
        </is>
      </c>
      <c r="B28" s="5" t="inlineStr">
        <is>
          <t>Desirable. Scored at reduced weight.</t>
        </is>
      </c>
    </row>
    <row r="30">
      <c r="A30" s="2" t="inlineStr">
        <is>
          <t>Tabs in this workbook</t>
        </is>
      </c>
    </row>
    <row r="31">
      <c r="A31" s="7" t="inlineStr">
        <is>
          <t>Vendor Profile</t>
        </is>
      </c>
      <c r="B31" s="5" t="inlineStr">
        <is>
          <t>Narrative company information. Not compliance-scored.</t>
        </is>
      </c>
    </row>
    <row r="32">
      <c r="A32" s="7" t="inlineStr">
        <is>
          <t>Functional / Technical / Security / Privacy / Implementation / Support / Commercial</t>
        </is>
      </c>
      <c r="B32" s="5" t="inlineStr">
        <is>
          <t>Requirement tabs. Complete the compliance level and comments for every line item.</t>
        </is>
      </c>
    </row>
    <row r="33">
      <c r="A33" s="7" t="inlineStr">
        <is>
          <t>Pricing Workbook</t>
        </is>
      </c>
      <c r="B33" s="5" t="inlineStr">
        <is>
          <t>Five-year cost model. Complete the input cells only; totals are calculated.</t>
        </is>
      </c>
    </row>
    <row r="34">
      <c r="A34" s="7" t="inlineStr">
        <is>
          <t>Scoring Summary</t>
        </is>
      </c>
      <c r="B34" s="5" t="inlineStr">
        <is>
          <t>Calculated by Alderwood during evaluation. Do not edit.</t>
        </is>
      </c>
    </row>
    <row r="35">
      <c r="A35" s="7" t="inlineStr">
        <is>
          <t>Exceptions Log</t>
        </is>
      </c>
      <c r="B35" s="5" t="inlineStr">
        <is>
          <t>Record any exception to Alderwood's stated terms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82" customWidth="1" min="2" max="2"/>
    <col width="62" customWidth="1" min="3" max="3"/>
  </cols>
  <sheetData>
    <row r="1">
      <c r="A1" s="8" t="inlineStr">
        <is>
          <t>Section 1 - Vendor Profile and Corporate Information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6" ht="30" customHeight="1">
      <c r="A6" s="5" t="inlineStr">
        <is>
          <t>This section establishes vendor viability. Responses are narrative rather than compliance-scored, and are evaluated on a pass/fail basis by Alderwood's procurement and finance teams.</t>
        </is>
      </c>
    </row>
    <row r="8">
      <c r="A8" s="9" t="inlineStr">
        <is>
          <t>Ref</t>
        </is>
      </c>
      <c r="B8" s="9" t="inlineStr">
        <is>
          <t>Question</t>
        </is>
      </c>
      <c r="C8" s="9" t="inlineStr">
        <is>
          <t>Vendor Response</t>
        </is>
      </c>
    </row>
    <row r="9">
      <c r="A9" s="10" t="inlineStr">
        <is>
          <t>EXAMPLE</t>
        </is>
      </c>
      <c r="B9" s="10" t="inlineStr">
        <is>
          <t>(Example row. Do not submit a response against this row.)</t>
        </is>
      </c>
      <c r="C9" s="10" t="inlineStr">
        <is>
          <t>Meridian Data, Inc., incorporated in Delaware, headquartered in Seattle, WA.</t>
        </is>
      </c>
    </row>
    <row r="10">
      <c r="A10" s="11" t="inlineStr">
        <is>
          <t>1.1  Corporate Background</t>
        </is>
      </c>
      <c r="B10" s="12" t="n"/>
      <c r="C10" s="12" t="n"/>
    </row>
    <row r="11" ht="30" customHeight="1">
      <c r="A11" s="13" t="inlineStr">
        <is>
          <t>1.1.1</t>
        </is>
      </c>
      <c r="B11" s="14" t="inlineStr">
        <is>
          <t>State your full legal entity name, jurisdiction of incorporation, headquarters address, and any parent or holding company.</t>
        </is>
      </c>
      <c r="C11" s="15" t="n"/>
    </row>
    <row r="12" ht="30" customHeight="1">
      <c r="A12" s="13" t="inlineStr">
        <is>
          <t>1.1.2</t>
        </is>
      </c>
      <c r="B12" s="14" t="inlineStr">
        <is>
          <t>State the year the company was founded and the year the product offered in this response first became generally available.</t>
        </is>
      </c>
      <c r="C12" s="15" t="n"/>
    </row>
    <row r="13" ht="30" customHeight="1">
      <c r="A13" s="13" t="inlineStr">
        <is>
          <t>1.1.3</t>
        </is>
      </c>
      <c r="B13" s="14" t="inlineStr">
        <is>
          <t>State your current total headcount, broken out by engineering, customer support, professional services, and sales.</t>
        </is>
      </c>
      <c r="C13" s="15" t="n"/>
    </row>
    <row r="14" ht="30" customHeight="1">
      <c r="A14" s="13" t="inlineStr">
        <is>
          <t>1.1.4</t>
        </is>
      </c>
      <c r="B14" s="14" t="inlineStr">
        <is>
          <t>Describe your ownership structure and funding history. If venture-backed, state your most recent funding round and date.</t>
        </is>
      </c>
      <c r="C14" s="15" t="n"/>
    </row>
    <row r="15" ht="30" customHeight="1">
      <c r="A15" s="13" t="inlineStr">
        <is>
          <t>1.1.5</t>
        </is>
      </c>
      <c r="B15" s="14" t="inlineStr">
        <is>
          <t>Confirm whether the company has been profitable for the last two consecutive fiscal years, or state your current cash runway in months.</t>
        </is>
      </c>
      <c r="C15" s="15" t="n"/>
    </row>
    <row r="16" ht="30" customHeight="1">
      <c r="A16" s="13" t="inlineStr">
        <is>
          <t>1.1.6</t>
        </is>
      </c>
      <c r="B16" s="14" t="inlineStr">
        <is>
          <t>Disclose any merger, acquisition, or change-of-control event involving your company in the last 36 months, whether as acquirer or target.</t>
        </is>
      </c>
      <c r="C16" s="15" t="n"/>
    </row>
    <row r="17" ht="30" customHeight="1">
      <c r="A17" s="13" t="inlineStr">
        <is>
          <t>1.1.7</t>
        </is>
      </c>
      <c r="B17" s="14" t="inlineStr">
        <is>
          <t>Disclose any material litigation, regulatory enforcement action, or data protection authority investigation involving your company in the last 60 months.</t>
        </is>
      </c>
      <c r="C17" s="15" t="n"/>
    </row>
    <row r="18">
      <c r="A18" s="11" t="inlineStr">
        <is>
          <t>1.2  Customer Base and References</t>
        </is>
      </c>
      <c r="B18" s="12" t="n"/>
      <c r="C18" s="12" t="n"/>
    </row>
    <row r="19" ht="30" customHeight="1">
      <c r="A19" s="13" t="inlineStr">
        <is>
          <t>1.2.1</t>
        </is>
      </c>
      <c r="B19" s="14" t="inlineStr">
        <is>
          <t>State the total number of customers currently in production on the platform offered in this response.</t>
        </is>
      </c>
      <c r="C19" s="15" t="n"/>
    </row>
    <row r="20" ht="30" customHeight="1">
      <c r="A20" s="13" t="inlineStr">
        <is>
          <t>1.2.2</t>
        </is>
      </c>
      <c r="B20" s="14" t="inlineStr">
        <is>
          <t>State how many of those customers are in retail or grocery, and how many operate more than 100 physical store locations.</t>
        </is>
      </c>
      <c r="C20" s="15" t="n"/>
    </row>
    <row r="21" ht="30" customHeight="1">
      <c r="A21" s="13" t="inlineStr">
        <is>
          <t>1.2.3</t>
        </is>
      </c>
      <c r="B21" s="14" t="inlineStr">
        <is>
          <t>Provide three reference customers of comparable size and industry, including contact name, title, and a summary of the deployment. References will be contacted only for shortlisted vendors.</t>
        </is>
      </c>
      <c r="C21" s="15" t="n"/>
    </row>
    <row r="22" ht="30" customHeight="1">
      <c r="A22" s="13" t="inlineStr">
        <is>
          <t>1.2.4</t>
        </is>
      </c>
      <c r="B22" s="14" t="inlineStr">
        <is>
          <t>State your gross and net revenue retention rates for the most recent completed fiscal year.</t>
        </is>
      </c>
      <c r="C22" s="15" t="n"/>
    </row>
    <row r="23" ht="30" customHeight="1">
      <c r="A23" s="13" t="inlineStr">
        <is>
          <t>1.2.5</t>
        </is>
      </c>
      <c r="B23" s="14" t="inlineStr">
        <is>
          <t>Disclose any customer with more than 10 percent of total company revenue.</t>
        </is>
      </c>
      <c r="C23" s="15" t="n"/>
    </row>
  </sheetData>
  <mergeCells count="4">
    <mergeCell ref="A1:C1"/>
    <mergeCell ref="A18:C18"/>
    <mergeCell ref="A6:C6"/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4" customWidth="1" min="2" max="2"/>
    <col width="10" customWidth="1" min="3" max="3"/>
    <col width="9" customWidth="1" min="4" max="4"/>
    <col width="18" customWidth="1" min="5" max="5"/>
    <col width="46" customWidth="1" min="6" max="6"/>
    <col width="26" customWidth="1" min="7" max="7"/>
    <col width="16" customWidth="1" min="8" max="8"/>
    <col width="10" customWidth="1" min="9" max="9"/>
  </cols>
  <sheetData>
    <row r="1">
      <c r="A1" s="8" t="inlineStr">
        <is>
          <t>Section 2 - Functional Requirements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6" ht="30" customHeight="1">
      <c r="A6" s="5" t="inlineStr">
        <is>
          <t>Functional requirements describe the customer data platform capabilities Alderwood expects to operate. Respond to every line item with a compliance level and a supporting explanation.</t>
        </is>
      </c>
    </row>
    <row r="8">
      <c r="A8" s="9" t="inlineStr">
        <is>
          <t>Req ID</t>
        </is>
      </c>
      <c r="B8" s="9" t="inlineStr">
        <is>
          <t>Requirement</t>
        </is>
      </c>
      <c r="C8" s="9" t="inlineStr">
        <is>
          <t>Priority</t>
        </is>
      </c>
      <c r="D8" s="9" t="inlineStr">
        <is>
          <t>Weight</t>
        </is>
      </c>
      <c r="E8" s="9" t="inlineStr">
        <is>
          <t>Compliance Level</t>
        </is>
      </c>
      <c r="F8" s="9" t="inlineStr">
        <is>
          <t>Vendor Comments</t>
        </is>
      </c>
      <c r="G8" s="9" t="inlineStr">
        <is>
          <t>Supporting Doc Reference</t>
        </is>
      </c>
      <c r="H8" s="9" t="inlineStr">
        <is>
          <t>Cost Impact (USD)</t>
        </is>
      </c>
      <c r="I8" s="9" t="inlineStr">
        <is>
          <t>Score</t>
        </is>
      </c>
    </row>
    <row r="9" ht="28" customHeight="1">
      <c r="A9" s="10" t="inlineStr">
        <is>
          <t>EXAMPLE</t>
        </is>
      </c>
      <c r="B9" s="10" t="inlineStr">
        <is>
          <t>(Example row illustrating the expected response format. Do not submit a response against this row.)</t>
        </is>
      </c>
      <c r="C9" s="10" t="inlineStr">
        <is>
          <t>Must</t>
        </is>
      </c>
      <c r="D9" s="10" t="n">
        <v>5</v>
      </c>
      <c r="E9" s="10" t="inlineStr">
        <is>
          <t>Configuration</t>
        </is>
      </c>
      <c r="F9" s="10" t="inlineStr">
        <is>
          <t>Supported in the current release. Requires an administrator to enable the feature and map source fields during onboarding.</t>
        </is>
      </c>
      <c r="G9" s="10" t="inlineStr">
        <is>
          <t>Admin Guide s.4.2, p.31</t>
        </is>
      </c>
      <c r="H9" s="10" t="n">
        <v>0</v>
      </c>
      <c r="I9" s="16" t="inlineStr">
        <is>
          <t>(not scored)</t>
        </is>
      </c>
    </row>
    <row r="10">
      <c r="A10" s="11" t="inlineStr">
        <is>
          <t>2.1  Data Ingestion and Source Connectivity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30" customHeight="1">
      <c r="A11" s="13" t="inlineStr">
        <is>
          <t>2.1.1</t>
        </is>
      </c>
      <c r="B11" s="14" t="inlineStr">
        <is>
          <t>The platform must ingest customer event data from a web storefront via a JavaScript tag or SDK.</t>
        </is>
      </c>
      <c r="C11" s="17" t="inlineStr">
        <is>
          <t>Must</t>
        </is>
      </c>
      <c r="D11" s="17" t="n">
        <v>5</v>
      </c>
      <c r="E11" s="15" t="n"/>
      <c r="F11" s="15" t="n"/>
      <c r="G11" s="15" t="n"/>
      <c r="H11" s="15" t="n"/>
      <c r="I11" s="18">
        <f>IFERROR(D11*INDEX('Scoring Summary'!$C$6:$C$11,MATCH(E11,'Scoring Summary'!$B$6:$B$11,0)),"")</f>
        <v/>
      </c>
    </row>
    <row r="12" ht="30" customHeight="1">
      <c r="A12" s="13" t="inlineStr">
        <is>
          <t>2.1.2</t>
        </is>
      </c>
      <c r="B12" s="14" t="inlineStr">
        <is>
          <t>The platform must ingest customer event data from native iOS and Android mobile applications.</t>
        </is>
      </c>
      <c r="C12" s="17" t="inlineStr">
        <is>
          <t>Must</t>
        </is>
      </c>
      <c r="D12" s="17" t="n">
        <v>4</v>
      </c>
      <c r="E12" s="15" t="n"/>
      <c r="F12" s="15" t="n"/>
      <c r="G12" s="15" t="n"/>
      <c r="H12" s="15" t="n"/>
      <c r="I12" s="18">
        <f>IFERROR(D12*INDEX('Scoring Summary'!$C$6:$C$11,MATCH(E12,'Scoring Summary'!$B$6:$B$11,0)),"")</f>
        <v/>
      </c>
    </row>
    <row r="13" ht="30" customHeight="1">
      <c r="A13" s="13" t="inlineStr">
        <is>
          <t>2.1.3</t>
        </is>
      </c>
      <c r="B13" s="14" t="inlineStr">
        <is>
          <t>The platform must ingest transaction records from in-store point-of-sale systems via batch file delivery.</t>
        </is>
      </c>
      <c r="C13" s="17" t="inlineStr">
        <is>
          <t>Must</t>
        </is>
      </c>
      <c r="D13" s="17" t="n">
        <v>5</v>
      </c>
      <c r="E13" s="15" t="n"/>
      <c r="F13" s="15" t="n"/>
      <c r="G13" s="15" t="n"/>
      <c r="H13" s="15" t="n"/>
      <c r="I13" s="18">
        <f>IFERROR(D13*INDEX('Scoring Summary'!$C$6:$C$11,MATCH(E13,'Scoring Summary'!$B$6:$B$11,0)),"")</f>
        <v/>
      </c>
    </row>
    <row r="14" ht="30" customHeight="1">
      <c r="A14" s="13" t="inlineStr">
        <is>
          <t>2.1.4</t>
        </is>
      </c>
      <c r="B14" s="14" t="inlineStr">
        <is>
          <t>Describe supported batch ingestion mechanisms, including SFTP, cloud object storage, and any file format constraints.</t>
        </is>
      </c>
      <c r="C14" s="17" t="inlineStr">
        <is>
          <t>Must</t>
        </is>
      </c>
      <c r="D14" s="17" t="n">
        <v>4</v>
      </c>
      <c r="E14" s="15" t="n"/>
      <c r="F14" s="15" t="n"/>
      <c r="G14" s="15" t="n"/>
      <c r="H14" s="15" t="n"/>
      <c r="I14" s="18">
        <f>IFERROR(D14*INDEX('Scoring Summary'!$C$6:$C$11,MATCH(E14,'Scoring Summary'!$B$6:$B$11,0)),"")</f>
        <v/>
      </c>
    </row>
    <row r="15" ht="30" customHeight="1">
      <c r="A15" s="13" t="inlineStr">
        <is>
          <t>2.1.5</t>
        </is>
      </c>
      <c r="B15" s="14" t="inlineStr">
        <is>
          <t>The platform must support server-side event ingestion over HTTP for systems that cannot run a client SDK.</t>
        </is>
      </c>
      <c r="C15" s="17" t="inlineStr">
        <is>
          <t>Must</t>
        </is>
      </c>
      <c r="D15" s="17" t="n">
        <v>4</v>
      </c>
      <c r="E15" s="15" t="n"/>
      <c r="F15" s="15" t="n"/>
      <c r="G15" s="15" t="n"/>
      <c r="H15" s="15" t="n"/>
      <c r="I15" s="18">
        <f>IFERROR(D15*INDEX('Scoring Summary'!$C$6:$C$11,MATCH(E15,'Scoring Summary'!$B$6:$B$11,0)),"")</f>
        <v/>
      </c>
    </row>
    <row r="16" ht="30" customHeight="1">
      <c r="A16" s="13" t="inlineStr">
        <is>
          <t>2.1.6</t>
        </is>
      </c>
      <c r="B16" s="14" t="inlineStr">
        <is>
          <t>Confirm native connector support for Shopify Plus, which hosts Alderwood's e-commerce storefront.</t>
        </is>
      </c>
      <c r="C16" s="17" t="inlineStr">
        <is>
          <t>Must</t>
        </is>
      </c>
      <c r="D16" s="17" t="n">
        <v>5</v>
      </c>
      <c r="E16" s="15" t="n"/>
      <c r="F16" s="15" t="n"/>
      <c r="G16" s="15" t="n"/>
      <c r="H16" s="15" t="n"/>
      <c r="I16" s="18">
        <f>IFERROR(D16*INDEX('Scoring Summary'!$C$6:$C$11,MATCH(E16,'Scoring Summary'!$B$6:$B$11,0)),"")</f>
        <v/>
      </c>
    </row>
    <row r="17" ht="30" customHeight="1">
      <c r="A17" s="13" t="inlineStr">
        <is>
          <t>2.1.7</t>
        </is>
      </c>
      <c r="B17" s="14" t="inlineStr">
        <is>
          <t>Confirm native connector support for Salesforce Marketing Cloud, which Alderwood uses for email and SMS execution.</t>
        </is>
      </c>
      <c r="C17" s="17" t="inlineStr">
        <is>
          <t>Must</t>
        </is>
      </c>
      <c r="D17" s="17" t="n">
        <v>5</v>
      </c>
      <c r="E17" s="15" t="n"/>
      <c r="F17" s="15" t="n"/>
      <c r="G17" s="15" t="n"/>
      <c r="H17" s="15" t="n"/>
      <c r="I17" s="18">
        <f>IFERROR(D17*INDEX('Scoring Summary'!$C$6:$C$11,MATCH(E17,'Scoring Summary'!$B$6:$B$11,0)),"")</f>
        <v/>
      </c>
    </row>
    <row r="18" ht="30" customHeight="1">
      <c r="A18" s="13" t="inlineStr">
        <is>
          <t>2.1.8</t>
        </is>
      </c>
      <c r="B18" s="14" t="inlineStr">
        <is>
          <t>Describe ingestion from a cloud data warehouse. Alderwood operates Snowflake as its analytics warehouse.</t>
        </is>
      </c>
      <c r="C18" s="17" t="inlineStr">
        <is>
          <t>Must</t>
        </is>
      </c>
      <c r="D18" s="17" t="n">
        <v>4</v>
      </c>
      <c r="E18" s="15" t="n"/>
      <c r="F18" s="15" t="n"/>
      <c r="G18" s="15" t="n"/>
      <c r="H18" s="15" t="n"/>
      <c r="I18" s="18">
        <f>IFERROR(D18*INDEX('Scoring Summary'!$C$6:$C$11,MATCH(E18,'Scoring Summary'!$B$6:$B$11,0)),"")</f>
        <v/>
      </c>
    </row>
    <row r="19" ht="30" customHeight="1">
      <c r="A19" s="13" t="inlineStr">
        <is>
          <t>2.1.9</t>
        </is>
      </c>
      <c r="B19" s="14" t="inlineStr">
        <is>
          <t>Describe how the platform handles late-arriving or out-of-order events, including any correction of previously computed segment membership.</t>
        </is>
      </c>
      <c r="C19" s="17" t="inlineStr">
        <is>
          <t>Should</t>
        </is>
      </c>
      <c r="D19" s="17" t="n">
        <v>4</v>
      </c>
      <c r="E19" s="15" t="n"/>
      <c r="F19" s="15" t="n"/>
      <c r="G19" s="15" t="n"/>
      <c r="H19" s="15" t="n"/>
      <c r="I19" s="18">
        <f>IFERROR(D19*INDEX('Scoring Summary'!$C$6:$C$11,MATCH(E19,'Scoring Summary'!$B$6:$B$11,0)),"")</f>
        <v/>
      </c>
    </row>
    <row r="20" ht="30" customHeight="1">
      <c r="A20" s="13" t="inlineStr">
        <is>
          <t>2.1.10</t>
        </is>
      </c>
      <c r="B20" s="14" t="inlineStr">
        <is>
          <t>Describe schema validation on ingestion and the disposition of records that fail validation.</t>
        </is>
      </c>
      <c r="C20" s="17" t="inlineStr">
        <is>
          <t>Should</t>
        </is>
      </c>
      <c r="D20" s="17" t="n">
        <v>3</v>
      </c>
      <c r="E20" s="15" t="n"/>
      <c r="F20" s="15" t="n"/>
      <c r="G20" s="15" t="n"/>
      <c r="H20" s="15" t="n"/>
      <c r="I20" s="18">
        <f>IFERROR(D20*INDEX('Scoring Summary'!$C$6:$C$11,MATCH(E20,'Scoring Summary'!$B$6:$B$11,0)),"")</f>
        <v/>
      </c>
    </row>
    <row r="21" ht="30" customHeight="1">
      <c r="A21" s="13" t="inlineStr">
        <is>
          <t>2.1.11</t>
        </is>
      </c>
      <c r="B21" s="14" t="inlineStr">
        <is>
          <t>State the maximum sustained and burst event ingestion rate supported per account.</t>
        </is>
      </c>
      <c r="C21" s="17" t="inlineStr">
        <is>
          <t>Should</t>
        </is>
      </c>
      <c r="D21" s="17" t="n">
        <v>3</v>
      </c>
      <c r="E21" s="15" t="n"/>
      <c r="F21" s="15" t="n"/>
      <c r="G21" s="15" t="n"/>
      <c r="H21" s="15" t="n"/>
      <c r="I21" s="18">
        <f>IFERROR(D21*INDEX('Scoring Summary'!$C$6:$C$11,MATCH(E21,'Scoring Summary'!$B$6:$B$11,0)),"")</f>
        <v/>
      </c>
    </row>
    <row r="22">
      <c r="A22" s="11" t="inlineStr">
        <is>
          <t>2.2  Identity Resolution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13" t="inlineStr">
        <is>
          <t>2.2.1</t>
        </is>
      </c>
      <c r="B23" s="14" t="inlineStr">
        <is>
          <t>The platform must resolve customer identity across web, mobile, and offline point-of-sale sources into a single unified profile.</t>
        </is>
      </c>
      <c r="C23" s="17" t="inlineStr">
        <is>
          <t>Must</t>
        </is>
      </c>
      <c r="D23" s="17" t="n">
        <v>5</v>
      </c>
      <c r="E23" s="15" t="n"/>
      <c r="F23" s="15" t="n"/>
      <c r="G23" s="15" t="n"/>
      <c r="H23" s="15" t="n"/>
      <c r="I23" s="18">
        <f>IFERROR(D23*INDEX('Scoring Summary'!$C$6:$C$11,MATCH(E23,'Scoring Summary'!$B$6:$B$11,0)),"")</f>
        <v/>
      </c>
    </row>
    <row r="24" ht="30" customHeight="1">
      <c r="A24" s="13" t="inlineStr">
        <is>
          <t>2.2.2</t>
        </is>
      </c>
      <c r="B24" s="14" t="inlineStr">
        <is>
          <t>Describe whether identity matching is deterministic, probabilistic, or both, and state which is applied by default.</t>
        </is>
      </c>
      <c r="C24" s="17" t="inlineStr">
        <is>
          <t>Must</t>
        </is>
      </c>
      <c r="D24" s="17" t="n">
        <v>5</v>
      </c>
      <c r="E24" s="15" t="n"/>
      <c r="F24" s="15" t="n"/>
      <c r="G24" s="15" t="n"/>
      <c r="H24" s="15" t="n"/>
      <c r="I24" s="18">
        <f>IFERROR(D24*INDEX('Scoring Summary'!$C$6:$C$11,MATCH(E24,'Scoring Summary'!$B$6:$B$11,0)),"")</f>
        <v/>
      </c>
    </row>
    <row r="25" ht="30" customHeight="1">
      <c r="A25" s="13" t="inlineStr">
        <is>
          <t>2.2.3</t>
        </is>
      </c>
      <c r="B25" s="14" t="inlineStr">
        <is>
          <t>Describe the identifiers supported for matching, including email, phone, loyalty number, device identifier, and hashed identifiers.</t>
        </is>
      </c>
      <c r="C25" s="17" t="inlineStr">
        <is>
          <t>Must</t>
        </is>
      </c>
      <c r="D25" s="17" t="n">
        <v>4</v>
      </c>
      <c r="E25" s="15" t="n"/>
      <c r="F25" s="15" t="n"/>
      <c r="G25" s="15" t="n"/>
      <c r="H25" s="15" t="n"/>
      <c r="I25" s="18">
        <f>IFERROR(D25*INDEX('Scoring Summary'!$C$6:$C$11,MATCH(E25,'Scoring Summary'!$B$6:$B$11,0)),"")</f>
        <v/>
      </c>
    </row>
    <row r="26" ht="30" customHeight="1">
      <c r="A26" s="13" t="inlineStr">
        <is>
          <t>2.2.4</t>
        </is>
      </c>
      <c r="B26" s="14" t="inlineStr">
        <is>
          <t>The platform must support a customer-defined match rule hierarchy rather than a fixed vendor-defined precedence.</t>
        </is>
      </c>
      <c r="C26" s="17" t="inlineStr">
        <is>
          <t>Should</t>
        </is>
      </c>
      <c r="D26" s="17" t="n">
        <v>4</v>
      </c>
      <c r="E26" s="15" t="n"/>
      <c r="F26" s="15" t="n"/>
      <c r="G26" s="15" t="n"/>
      <c r="H26" s="15" t="n"/>
      <c r="I26" s="18">
        <f>IFERROR(D26*INDEX('Scoring Summary'!$C$6:$C$11,MATCH(E26,'Scoring Summary'!$B$6:$B$11,0)),"")</f>
        <v/>
      </c>
    </row>
    <row r="27" ht="30" customHeight="1">
      <c r="A27" s="13" t="inlineStr">
        <is>
          <t>2.2.5</t>
        </is>
      </c>
      <c r="B27" s="14" t="inlineStr">
        <is>
          <t>Describe how identity graph conflicts are surfaced and resolved, including the ability for an operator to manually merge or split profiles.</t>
        </is>
      </c>
      <c r="C27" s="17" t="inlineStr">
        <is>
          <t>Should</t>
        </is>
      </c>
      <c r="D27" s="17" t="n">
        <v>4</v>
      </c>
      <c r="E27" s="15" t="n"/>
      <c r="F27" s="15" t="n"/>
      <c r="G27" s="15" t="n"/>
      <c r="H27" s="15" t="n"/>
      <c r="I27" s="18">
        <f>IFERROR(D27*INDEX('Scoring Summary'!$C$6:$C$11,MATCH(E27,'Scoring Summary'!$B$6:$B$11,0)),"")</f>
        <v/>
      </c>
    </row>
    <row r="28" ht="30" customHeight="1">
      <c r="A28" s="13" t="inlineStr">
        <is>
          <t>2.2.6</t>
        </is>
      </c>
      <c r="B28" s="14" t="inlineStr">
        <is>
          <t>Describe how an unauthenticated web session is later associated with a known customer profile upon authentication.</t>
        </is>
      </c>
      <c r="C28" s="17" t="inlineStr">
        <is>
          <t>Must</t>
        </is>
      </c>
      <c r="D28" s="17" t="n">
        <v>4</v>
      </c>
      <c r="E28" s="15" t="n"/>
      <c r="F28" s="15" t="n"/>
      <c r="G28" s="15" t="n"/>
      <c r="H28" s="15" t="n"/>
      <c r="I28" s="18">
        <f>IFERROR(D28*INDEX('Scoring Summary'!$C$6:$C$11,MATCH(E28,'Scoring Summary'!$B$6:$B$11,0)),"")</f>
        <v/>
      </c>
    </row>
    <row r="29" ht="30" customHeight="1">
      <c r="A29" s="13" t="inlineStr">
        <is>
          <t>2.2.7</t>
        </is>
      </c>
      <c r="B29" s="14" t="inlineStr">
        <is>
          <t>State the expected match rate for a retailer with an anonymous-to-known ratio of approximately 8:1, and describe how that figure is measured.</t>
        </is>
      </c>
      <c r="C29" s="17" t="inlineStr">
        <is>
          <t>Should</t>
        </is>
      </c>
      <c r="D29" s="17" t="n">
        <v>3</v>
      </c>
      <c r="E29" s="15" t="n"/>
      <c r="F29" s="15" t="n"/>
      <c r="G29" s="15" t="n"/>
      <c r="H29" s="15" t="n"/>
      <c r="I29" s="18">
        <f>IFERROR(D29*INDEX('Scoring Summary'!$C$6:$C$11,MATCH(E29,'Scoring Summary'!$B$6:$B$11,0)),"")</f>
        <v/>
      </c>
    </row>
    <row r="30" ht="30" customHeight="1">
      <c r="A30" s="13" t="inlineStr">
        <is>
          <t>2.2.8</t>
        </is>
      </c>
      <c r="B30" s="14" t="inlineStr">
        <is>
          <t>Describe support for household-level or address-level grouping in addition to individual identity.</t>
        </is>
      </c>
      <c r="C30" s="17" t="inlineStr">
        <is>
          <t>Should</t>
        </is>
      </c>
      <c r="D30" s="17" t="n">
        <v>3</v>
      </c>
      <c r="E30" s="15" t="n"/>
      <c r="F30" s="15" t="n"/>
      <c r="G30" s="15" t="n"/>
      <c r="H30" s="15" t="n"/>
      <c r="I30" s="18">
        <f>IFERROR(D30*INDEX('Scoring Summary'!$C$6:$C$11,MATCH(E30,'Scoring Summary'!$B$6:$B$11,0)),"")</f>
        <v/>
      </c>
    </row>
    <row r="31" ht="30" customHeight="1">
      <c r="A31" s="13" t="inlineStr">
        <is>
          <t>2.2.9</t>
        </is>
      </c>
      <c r="B31" s="14" t="inlineStr">
        <is>
          <t>Describe the audit trail available for identity merge operations, including whether a merge can be reversed.</t>
        </is>
      </c>
      <c r="C31" s="17" t="inlineStr">
        <is>
          <t>Should</t>
        </is>
      </c>
      <c r="D31" s="17" t="n">
        <v>3</v>
      </c>
      <c r="E31" s="15" t="n"/>
      <c r="F31" s="15" t="n"/>
      <c r="G31" s="15" t="n"/>
      <c r="H31" s="15" t="n"/>
      <c r="I31" s="18">
        <f>IFERROR(D31*INDEX('Scoring Summary'!$C$6:$C$11,MATCH(E31,'Scoring Summary'!$B$6:$B$11,0)),"")</f>
        <v/>
      </c>
    </row>
    <row r="32" ht="30" customHeight="1">
      <c r="A32" s="13" t="inlineStr">
        <is>
          <t>2.2.10</t>
        </is>
      </c>
      <c r="B32" s="14" t="inlineStr">
        <is>
          <t>Describe how identity resolution behaves when a loyalty number is shared across multiple household members, a common pattern in Alderwood's programme.</t>
        </is>
      </c>
      <c r="C32" s="17" t="inlineStr">
        <is>
          <t>Should</t>
        </is>
      </c>
      <c r="D32" s="17" t="n">
        <v>3</v>
      </c>
      <c r="E32" s="15" t="n"/>
      <c r="F32" s="15" t="n"/>
      <c r="G32" s="15" t="n"/>
      <c r="H32" s="15" t="n"/>
      <c r="I32" s="18">
        <f>IFERROR(D32*INDEX('Scoring Summary'!$C$6:$C$11,MATCH(E32,'Scoring Summary'!$B$6:$B$11,0)),"")</f>
        <v/>
      </c>
    </row>
    <row r="33" ht="30" customHeight="1">
      <c r="A33" s="13" t="inlineStr">
        <is>
          <t>2.2.11</t>
        </is>
      </c>
      <c r="B33" s="14" t="inlineStr">
        <is>
          <t>State whether identity resolution runs in real time on event arrival, on a scheduled batch, or both.</t>
        </is>
      </c>
      <c r="C33" s="17" t="inlineStr">
        <is>
          <t>Must</t>
        </is>
      </c>
      <c r="D33" s="17" t="n">
        <v>4</v>
      </c>
      <c r="E33" s="15" t="n"/>
      <c r="F33" s="15" t="n"/>
      <c r="G33" s="15" t="n"/>
      <c r="H33" s="15" t="n"/>
      <c r="I33" s="18">
        <f>IFERROR(D33*INDEX('Scoring Summary'!$C$6:$C$11,MATCH(E33,'Scoring Summary'!$B$6:$B$11,0)),"")</f>
        <v/>
      </c>
    </row>
    <row r="34" ht="30" customHeight="1">
      <c r="A34" s="13" t="inlineStr">
        <is>
          <t>2.2.12</t>
        </is>
      </c>
      <c r="B34" s="14" t="inlineStr">
        <is>
          <t>Describe any limits on identity graph size, including maximum identifiers per profile.</t>
        </is>
      </c>
      <c r="C34" s="17" t="inlineStr">
        <is>
          <t>Nice</t>
        </is>
      </c>
      <c r="D34" s="17" t="n">
        <v>2</v>
      </c>
      <c r="E34" s="15" t="n"/>
      <c r="F34" s="15" t="n"/>
      <c r="G34" s="15" t="n"/>
      <c r="H34" s="15" t="n"/>
      <c r="I34" s="18">
        <f>IFERROR(D34*INDEX('Scoring Summary'!$C$6:$C$11,MATCH(E34,'Scoring Summary'!$B$6:$B$11,0)),"")</f>
        <v/>
      </c>
    </row>
    <row r="35">
      <c r="A35" s="11" t="inlineStr">
        <is>
          <t>2.3  Customer Profile Management</t>
        </is>
      </c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 ht="30" customHeight="1">
      <c r="A36" s="13" t="inlineStr">
        <is>
          <t>2.3.1</t>
        </is>
      </c>
      <c r="B36" s="14" t="inlineStr">
        <is>
          <t>The platform must maintain a unified customer profile combining behavioural events, transaction history, and customer attributes.</t>
        </is>
      </c>
      <c r="C36" s="17" t="inlineStr">
        <is>
          <t>Must</t>
        </is>
      </c>
      <c r="D36" s="17" t="n">
        <v>5</v>
      </c>
      <c r="E36" s="15" t="n"/>
      <c r="F36" s="15" t="n"/>
      <c r="G36" s="15" t="n"/>
      <c r="H36" s="15" t="n"/>
      <c r="I36" s="18">
        <f>IFERROR(D36*INDEX('Scoring Summary'!$C$6:$C$11,MATCH(E36,'Scoring Summary'!$B$6:$B$11,0)),"")</f>
        <v/>
      </c>
    </row>
    <row r="37" ht="30" customHeight="1">
      <c r="A37" s="13" t="inlineStr">
        <is>
          <t>2.3.2</t>
        </is>
      </c>
      <c r="B37" s="14" t="inlineStr">
        <is>
          <t>State any limit on the number of custom attributes that may be defined on a customer profile.</t>
        </is>
      </c>
      <c r="C37" s="17" t="inlineStr">
        <is>
          <t>Must</t>
        </is>
      </c>
      <c r="D37" s="17" t="n">
        <v>4</v>
      </c>
      <c r="E37" s="15" t="n"/>
      <c r="F37" s="15" t="n"/>
      <c r="G37" s="15" t="n"/>
      <c r="H37" s="15" t="n"/>
      <c r="I37" s="18">
        <f>IFERROR(D37*INDEX('Scoring Summary'!$C$6:$C$11,MATCH(E37,'Scoring Summary'!$B$6:$B$11,0)),"")</f>
        <v/>
      </c>
    </row>
    <row r="38" ht="30" customHeight="1">
      <c r="A38" s="13" t="inlineStr">
        <is>
          <t>2.3.3</t>
        </is>
      </c>
      <c r="B38" s="14" t="inlineStr">
        <is>
          <t>Describe support for computed or derived attributes, including whether they are recalculated in real time.</t>
        </is>
      </c>
      <c r="C38" s="17" t="inlineStr">
        <is>
          <t>Must</t>
        </is>
      </c>
      <c r="D38" s="17" t="n">
        <v>4</v>
      </c>
      <c r="E38" s="15" t="n"/>
      <c r="F38" s="15" t="n"/>
      <c r="G38" s="15" t="n"/>
      <c r="H38" s="15" t="n"/>
      <c r="I38" s="18">
        <f>IFERROR(D38*INDEX('Scoring Summary'!$C$6:$C$11,MATCH(E38,'Scoring Summary'!$B$6:$B$11,0)),"")</f>
        <v/>
      </c>
    </row>
    <row r="39" ht="30" customHeight="1">
      <c r="A39" s="13" t="inlineStr">
        <is>
          <t>2.3.4</t>
        </is>
      </c>
      <c r="B39" s="14" t="inlineStr">
        <is>
          <t>The platform must expose a single-customer view in the user interface, showing profile attributes and a chronological event timeline.</t>
        </is>
      </c>
      <c r="C39" s="17" t="inlineStr">
        <is>
          <t>Must</t>
        </is>
      </c>
      <c r="D39" s="17" t="n">
        <v>4</v>
      </c>
      <c r="E39" s="15" t="n"/>
      <c r="F39" s="15" t="n"/>
      <c r="G39" s="15" t="n"/>
      <c r="H39" s="15" t="n"/>
      <c r="I39" s="18">
        <f>IFERROR(D39*INDEX('Scoring Summary'!$C$6:$C$11,MATCH(E39,'Scoring Summary'!$B$6:$B$11,0)),"")</f>
        <v/>
      </c>
    </row>
    <row r="40" ht="30" customHeight="1">
      <c r="A40" s="13" t="inlineStr">
        <is>
          <t>2.3.5</t>
        </is>
      </c>
      <c r="B40" s="14" t="inlineStr">
        <is>
          <t>Describe the API available for retrieving a single customer profile by identifier, including expected response latency.</t>
        </is>
      </c>
      <c r="C40" s="17" t="inlineStr">
        <is>
          <t>Must</t>
        </is>
      </c>
      <c r="D40" s="17" t="n">
        <v>4</v>
      </c>
      <c r="E40" s="15" t="n"/>
      <c r="F40" s="15" t="n"/>
      <c r="G40" s="15" t="n"/>
      <c r="H40" s="15" t="n"/>
      <c r="I40" s="18">
        <f>IFERROR(D40*INDEX('Scoring Summary'!$C$6:$C$11,MATCH(E40,'Scoring Summary'!$B$6:$B$11,0)),"")</f>
        <v/>
      </c>
    </row>
    <row r="41" ht="30" customHeight="1">
      <c r="A41" s="13" t="inlineStr">
        <is>
          <t>2.3.6</t>
        </is>
      </c>
      <c r="B41" s="14" t="inlineStr">
        <is>
          <t>Describe support for profile-level data corrections applied by a business user without engineering involvement.</t>
        </is>
      </c>
      <c r="C41" s="17" t="inlineStr">
        <is>
          <t>Should</t>
        </is>
      </c>
      <c r="D41" s="17" t="n">
        <v>3</v>
      </c>
      <c r="E41" s="15" t="n"/>
      <c r="F41" s="15" t="n"/>
      <c r="G41" s="15" t="n"/>
      <c r="H41" s="15" t="n"/>
      <c r="I41" s="18">
        <f>IFERROR(D41*INDEX('Scoring Summary'!$C$6:$C$11,MATCH(E41,'Scoring Summary'!$B$6:$B$11,0)),"")</f>
        <v/>
      </c>
    </row>
    <row r="42" ht="30" customHeight="1">
      <c r="A42" s="13" t="inlineStr">
        <is>
          <t>2.3.7</t>
        </is>
      </c>
      <c r="B42" s="14" t="inlineStr">
        <is>
          <t>State the default and maximum configurable retention period for profile and event data.</t>
        </is>
      </c>
      <c r="C42" s="17" t="inlineStr">
        <is>
          <t>Must</t>
        </is>
      </c>
      <c r="D42" s="17" t="n">
        <v>4</v>
      </c>
      <c r="E42" s="15" t="n"/>
      <c r="F42" s="15" t="n"/>
      <c r="G42" s="15" t="n"/>
      <c r="H42" s="15" t="n"/>
      <c r="I42" s="18">
        <f>IFERROR(D42*INDEX('Scoring Summary'!$C$6:$C$11,MATCH(E42,'Scoring Summary'!$B$6:$B$11,0)),"")</f>
        <v/>
      </c>
    </row>
    <row r="43" ht="30" customHeight="1">
      <c r="A43" s="13" t="inlineStr">
        <is>
          <t>2.3.8</t>
        </is>
      </c>
      <c r="B43" s="14" t="inlineStr">
        <is>
          <t>Describe how the platform handles profiles that have had no activity for an extended period, including any archival behaviour.</t>
        </is>
      </c>
      <c r="C43" s="17" t="inlineStr">
        <is>
          <t>Should</t>
        </is>
      </c>
      <c r="D43" s="17" t="n">
        <v>3</v>
      </c>
      <c r="E43" s="15" t="n"/>
      <c r="F43" s="15" t="n"/>
      <c r="G43" s="15" t="n"/>
      <c r="H43" s="15" t="n"/>
      <c r="I43" s="18">
        <f>IFERROR(D43*INDEX('Scoring Summary'!$C$6:$C$11,MATCH(E43,'Scoring Summary'!$B$6:$B$11,0)),"")</f>
        <v/>
      </c>
    </row>
    <row r="44" ht="30" customHeight="1">
      <c r="A44" s="13" t="inlineStr">
        <is>
          <t>2.3.9</t>
        </is>
      </c>
      <c r="B44" s="14" t="inlineStr">
        <is>
          <t>Describe whether profile schema changes can be made without reprocessing historical data.</t>
        </is>
      </c>
      <c r="C44" s="17" t="inlineStr">
        <is>
          <t>Should</t>
        </is>
      </c>
      <c r="D44" s="17" t="n">
        <v>3</v>
      </c>
      <c r="E44" s="15" t="n"/>
      <c r="F44" s="15" t="n"/>
      <c r="G44" s="15" t="n"/>
      <c r="H44" s="15" t="n"/>
      <c r="I44" s="18">
        <f>IFERROR(D44*INDEX('Scoring Summary'!$C$6:$C$11,MATCH(E44,'Scoring Summary'!$B$6:$B$11,0)),"")</f>
        <v/>
      </c>
    </row>
    <row r="45" ht="30" customHeight="1">
      <c r="A45" s="13" t="inlineStr">
        <is>
          <t>2.3.10</t>
        </is>
      </c>
      <c r="B45" s="14" t="inlineStr">
        <is>
          <t>Describe support for storing consent state as a first-class profile attribute rather than a custom field.</t>
        </is>
      </c>
      <c r="C45" s="17" t="inlineStr">
        <is>
          <t>Must</t>
        </is>
      </c>
      <c r="D45" s="17" t="n">
        <v>4</v>
      </c>
      <c r="E45" s="15" t="n"/>
      <c r="F45" s="15" t="n"/>
      <c r="G45" s="15" t="n"/>
      <c r="H45" s="15" t="n"/>
      <c r="I45" s="18">
        <f>IFERROR(D45*INDEX('Scoring Summary'!$C$6:$C$11,MATCH(E45,'Scoring Summary'!$B$6:$B$11,0)),"")</f>
        <v/>
      </c>
    </row>
    <row r="46">
      <c r="A46" s="11" t="inlineStr">
        <is>
          <t>2.4  Segmentation</t>
        </is>
      </c>
      <c r="B46" s="12" t="n"/>
      <c r="C46" s="12" t="n"/>
      <c r="D46" s="12" t="n"/>
      <c r="E46" s="12" t="n"/>
      <c r="F46" s="12" t="n"/>
      <c r="G46" s="12" t="n"/>
      <c r="H46" s="12" t="n"/>
      <c r="I46" s="12" t="n"/>
    </row>
    <row r="47" ht="30" customHeight="1">
      <c r="A47" s="13" t="inlineStr">
        <is>
          <t>2.4.1</t>
        </is>
      </c>
      <c r="B47" s="14" t="inlineStr">
        <is>
          <t>The platform must provide a visual segment builder usable by a marketing user without SQL knowledge.</t>
        </is>
      </c>
      <c r="C47" s="17" t="inlineStr">
        <is>
          <t>Must</t>
        </is>
      </c>
      <c r="D47" s="17" t="n">
        <v>5</v>
      </c>
      <c r="E47" s="15" t="n"/>
      <c r="F47" s="15" t="n"/>
      <c r="G47" s="15" t="n"/>
      <c r="H47" s="15" t="n"/>
      <c r="I47" s="18">
        <f>IFERROR(D47*INDEX('Scoring Summary'!$C$6:$C$11,MATCH(E47,'Scoring Summary'!$B$6:$B$11,0)),"")</f>
        <v/>
      </c>
    </row>
    <row r="48" ht="30" customHeight="1">
      <c r="A48" s="13" t="inlineStr">
        <is>
          <t>2.4.2</t>
        </is>
      </c>
      <c r="B48" s="14" t="inlineStr">
        <is>
          <t>The platform must support segment definitions expressed in SQL for advanced analytical users.</t>
        </is>
      </c>
      <c r="C48" s="17" t="inlineStr">
        <is>
          <t>Should</t>
        </is>
      </c>
      <c r="D48" s="17" t="n">
        <v>4</v>
      </c>
      <c r="E48" s="15" t="n"/>
      <c r="F48" s="15" t="n"/>
      <c r="G48" s="15" t="n"/>
      <c r="H48" s="15" t="n"/>
      <c r="I48" s="18">
        <f>IFERROR(D48*INDEX('Scoring Summary'!$C$6:$C$11,MATCH(E48,'Scoring Summary'!$B$6:$B$11,0)),"")</f>
        <v/>
      </c>
    </row>
    <row r="49" ht="30" customHeight="1">
      <c r="A49" s="13" t="inlineStr">
        <is>
          <t>2.4.3</t>
        </is>
      </c>
      <c r="B49" s="14" t="inlineStr">
        <is>
          <t>Describe support for real-time segment membership evaluation, and state the expected latency from qualifying event to segment membership.</t>
        </is>
      </c>
      <c r="C49" s="17" t="inlineStr">
        <is>
          <t>Must</t>
        </is>
      </c>
      <c r="D49" s="17" t="n">
        <v>5</v>
      </c>
      <c r="E49" s="15" t="n"/>
      <c r="F49" s="15" t="n"/>
      <c r="G49" s="15" t="n"/>
      <c r="H49" s="15" t="n"/>
      <c r="I49" s="18">
        <f>IFERROR(D49*INDEX('Scoring Summary'!$C$6:$C$11,MATCH(E49,'Scoring Summary'!$B$6:$B$11,0)),"")</f>
        <v/>
      </c>
    </row>
    <row r="50" ht="30" customHeight="1">
      <c r="A50" s="13" t="inlineStr">
        <is>
          <t>2.4.4</t>
        </is>
      </c>
      <c r="B50" s="14" t="inlineStr">
        <is>
          <t>Describe support for behavioural segmentation based on event sequence and event recency.</t>
        </is>
      </c>
      <c r="C50" s="17" t="inlineStr">
        <is>
          <t>Must</t>
        </is>
      </c>
      <c r="D50" s="17" t="n">
        <v>4</v>
      </c>
      <c r="E50" s="15" t="n"/>
      <c r="F50" s="15" t="n"/>
      <c r="G50" s="15" t="n"/>
      <c r="H50" s="15" t="n"/>
      <c r="I50" s="18">
        <f>IFERROR(D50*INDEX('Scoring Summary'!$C$6:$C$11,MATCH(E50,'Scoring Summary'!$B$6:$B$11,0)),"")</f>
        <v/>
      </c>
    </row>
    <row r="51" ht="30" customHeight="1">
      <c r="A51" s="13" t="inlineStr">
        <is>
          <t>2.4.5</t>
        </is>
      </c>
      <c r="B51" s="14" t="inlineStr">
        <is>
          <t>Describe support for segment membership based on predicted values such as churn likelihood or predicted lifetime value.</t>
        </is>
      </c>
      <c r="C51" s="17" t="inlineStr">
        <is>
          <t>Should</t>
        </is>
      </c>
      <c r="D51" s="17" t="n">
        <v>3</v>
      </c>
      <c r="E51" s="15" t="n"/>
      <c r="F51" s="15" t="n"/>
      <c r="G51" s="15" t="n"/>
      <c r="H51" s="15" t="n"/>
      <c r="I51" s="18">
        <f>IFERROR(D51*INDEX('Scoring Summary'!$C$6:$C$11,MATCH(E51,'Scoring Summary'!$B$6:$B$11,0)),"")</f>
        <v/>
      </c>
    </row>
    <row r="52" ht="30" customHeight="1">
      <c r="A52" s="13" t="inlineStr">
        <is>
          <t>2.4.6</t>
        </is>
      </c>
      <c r="B52" s="14" t="inlineStr">
        <is>
          <t>The platform must support nested or composite segments referencing other segments.</t>
        </is>
      </c>
      <c r="C52" s="17" t="inlineStr">
        <is>
          <t>Should</t>
        </is>
      </c>
      <c r="D52" s="17" t="n">
        <v>3</v>
      </c>
      <c r="E52" s="15" t="n"/>
      <c r="F52" s="15" t="n"/>
      <c r="G52" s="15" t="n"/>
      <c r="H52" s="15" t="n"/>
      <c r="I52" s="18">
        <f>IFERROR(D52*INDEX('Scoring Summary'!$C$6:$C$11,MATCH(E52,'Scoring Summary'!$B$6:$B$11,0)),"")</f>
        <v/>
      </c>
    </row>
    <row r="53" ht="30" customHeight="1">
      <c r="A53" s="13" t="inlineStr">
        <is>
          <t>2.4.7</t>
        </is>
      </c>
      <c r="B53" s="14" t="inlineStr">
        <is>
          <t>Describe how segment size is estimated before a segment is activated, and whether estimation is exact or sampled.</t>
        </is>
      </c>
      <c r="C53" s="17" t="inlineStr">
        <is>
          <t>Should</t>
        </is>
      </c>
      <c r="D53" s="17" t="n">
        <v>3</v>
      </c>
      <c r="E53" s="15" t="n"/>
      <c r="F53" s="15" t="n"/>
      <c r="G53" s="15" t="n"/>
      <c r="H53" s="15" t="n"/>
      <c r="I53" s="18">
        <f>IFERROR(D53*INDEX('Scoring Summary'!$C$6:$C$11,MATCH(E53,'Scoring Summary'!$B$6:$B$11,0)),"")</f>
        <v/>
      </c>
    </row>
    <row r="54" ht="30" customHeight="1">
      <c r="A54" s="13" t="inlineStr">
        <is>
          <t>2.4.8</t>
        </is>
      </c>
      <c r="B54" s="14" t="inlineStr">
        <is>
          <t>Describe version history for segment definitions, including the ability to see who changed a definition and when.</t>
        </is>
      </c>
      <c r="C54" s="17" t="inlineStr">
        <is>
          <t>Should</t>
        </is>
      </c>
      <c r="D54" s="17" t="n">
        <v>3</v>
      </c>
      <c r="E54" s="15" t="n"/>
      <c r="F54" s="15" t="n"/>
      <c r="G54" s="15" t="n"/>
      <c r="H54" s="15" t="n"/>
      <c r="I54" s="18">
        <f>IFERROR(D54*INDEX('Scoring Summary'!$C$6:$C$11,MATCH(E54,'Scoring Summary'!$B$6:$B$11,0)),"")</f>
        <v/>
      </c>
    </row>
    <row r="55" ht="30" customHeight="1">
      <c r="A55" s="13" t="inlineStr">
        <is>
          <t>2.4.9</t>
        </is>
      </c>
      <c r="B55" s="14" t="inlineStr">
        <is>
          <t>State any limit on the number of active segments per account.</t>
        </is>
      </c>
      <c r="C55" s="17" t="inlineStr">
        <is>
          <t>Nice</t>
        </is>
      </c>
      <c r="D55" s="17" t="n">
        <v>2</v>
      </c>
      <c r="E55" s="15" t="n"/>
      <c r="F55" s="15" t="n"/>
      <c r="G55" s="15" t="n"/>
      <c r="H55" s="15" t="n"/>
      <c r="I55" s="18">
        <f>IFERROR(D55*INDEX('Scoring Summary'!$C$6:$C$11,MATCH(E55,'Scoring Summary'!$B$6:$B$11,0)),"")</f>
        <v/>
      </c>
    </row>
    <row r="56" ht="30" customHeight="1">
      <c r="A56" s="13" t="inlineStr">
        <is>
          <t>2.4.10</t>
        </is>
      </c>
      <c r="B56" s="14" t="inlineStr">
        <is>
          <t>Describe support for suppression or exclusion segments applied globally across activations.</t>
        </is>
      </c>
      <c r="C56" s="17" t="inlineStr">
        <is>
          <t>Must</t>
        </is>
      </c>
      <c r="D56" s="17" t="n">
        <v>4</v>
      </c>
      <c r="E56" s="15" t="n"/>
      <c r="F56" s="15" t="n"/>
      <c r="G56" s="15" t="n"/>
      <c r="H56" s="15" t="n"/>
      <c r="I56" s="18">
        <f>IFERROR(D56*INDEX('Scoring Summary'!$C$6:$C$11,MATCH(E56,'Scoring Summary'!$B$6:$B$11,0)),"")</f>
        <v/>
      </c>
    </row>
    <row r="57" ht="30" customHeight="1">
      <c r="A57" s="13" t="inlineStr">
        <is>
          <t>2.4.11</t>
        </is>
      </c>
      <c r="B57" s="14" t="inlineStr">
        <is>
          <t>Describe how segment membership changes are made available to downstream systems, including whether entry and exit are both emitted.</t>
        </is>
      </c>
      <c r="C57" s="17" t="inlineStr">
        <is>
          <t>Should</t>
        </is>
      </c>
      <c r="D57" s="17" t="n">
        <v>4</v>
      </c>
      <c r="E57" s="15" t="n"/>
      <c r="F57" s="15" t="n"/>
      <c r="G57" s="15" t="n"/>
      <c r="H57" s="15" t="n"/>
      <c r="I57" s="18">
        <f>IFERROR(D57*INDEX('Scoring Summary'!$C$6:$C$11,MATCH(E57,'Scoring Summary'!$B$6:$B$11,0)),"")</f>
        <v/>
      </c>
    </row>
    <row r="58" ht="30" customHeight="1">
      <c r="A58" s="13" t="inlineStr">
        <is>
          <t>2.4.12</t>
        </is>
      </c>
      <c r="B58" s="14" t="inlineStr">
        <is>
          <t>Describe support for A/B or holdout group assignment within a segment for measurement purposes.</t>
        </is>
      </c>
      <c r="C58" s="17" t="inlineStr">
        <is>
          <t>Should</t>
        </is>
      </c>
      <c r="D58" s="17" t="n">
        <v>3</v>
      </c>
      <c r="E58" s="15" t="n"/>
      <c r="F58" s="15" t="n"/>
      <c r="G58" s="15" t="n"/>
      <c r="H58" s="15" t="n"/>
      <c r="I58" s="18">
        <f>IFERROR(D58*INDEX('Scoring Summary'!$C$6:$C$11,MATCH(E58,'Scoring Summary'!$B$6:$B$11,0)),"")</f>
        <v/>
      </c>
    </row>
    <row r="59">
      <c r="A59" s="11" t="inlineStr">
        <is>
          <t>2.5  Activation and Orchestration</t>
        </is>
      </c>
      <c r="B59" s="12" t="n"/>
      <c r="C59" s="12" t="n"/>
      <c r="D59" s="12" t="n"/>
      <c r="E59" s="12" t="n"/>
      <c r="F59" s="12" t="n"/>
      <c r="G59" s="12" t="n"/>
      <c r="H59" s="12" t="n"/>
      <c r="I59" s="12" t="n"/>
    </row>
    <row r="60" ht="30" customHeight="1">
      <c r="A60" s="13" t="inlineStr">
        <is>
          <t>2.5.1</t>
        </is>
      </c>
      <c r="B60" s="14" t="inlineStr">
        <is>
          <t>The platform must activate segments to Salesforce Marketing Cloud for email and SMS campaign execution.</t>
        </is>
      </c>
      <c r="C60" s="17" t="inlineStr">
        <is>
          <t>Must</t>
        </is>
      </c>
      <c r="D60" s="17" t="n">
        <v>5</v>
      </c>
      <c r="E60" s="15" t="n"/>
      <c r="F60" s="15" t="n"/>
      <c r="G60" s="15" t="n"/>
      <c r="H60" s="15" t="n"/>
      <c r="I60" s="18">
        <f>IFERROR(D60*INDEX('Scoring Summary'!$C$6:$C$11,MATCH(E60,'Scoring Summary'!$B$6:$B$11,0)),"")</f>
        <v/>
      </c>
    </row>
    <row r="61" ht="30" customHeight="1">
      <c r="A61" s="13" t="inlineStr">
        <is>
          <t>2.5.2</t>
        </is>
      </c>
      <c r="B61" s="14" t="inlineStr">
        <is>
          <t>Describe activation to paid media destinations, including Meta and Google advertising audiences.</t>
        </is>
      </c>
      <c r="C61" s="17" t="inlineStr">
        <is>
          <t>Should</t>
        </is>
      </c>
      <c r="D61" s="17" t="n">
        <v>4</v>
      </c>
      <c r="E61" s="15" t="n"/>
      <c r="F61" s="15" t="n"/>
      <c r="G61" s="15" t="n"/>
      <c r="H61" s="15" t="n"/>
      <c r="I61" s="18">
        <f>IFERROR(D61*INDEX('Scoring Summary'!$C$6:$C$11,MATCH(E61,'Scoring Summary'!$B$6:$B$11,0)),"")</f>
        <v/>
      </c>
    </row>
    <row r="62" ht="30" customHeight="1">
      <c r="A62" s="13" t="inlineStr">
        <is>
          <t>2.5.3</t>
        </is>
      </c>
      <c r="B62" s="14" t="inlineStr">
        <is>
          <t>Describe reverse ETL capability for writing computed segments and traits back into a data warehouse.</t>
        </is>
      </c>
      <c r="C62" s="17" t="inlineStr">
        <is>
          <t>Must</t>
        </is>
      </c>
      <c r="D62" s="17" t="n">
        <v>4</v>
      </c>
      <c r="E62" s="15" t="n"/>
      <c r="F62" s="15" t="n"/>
      <c r="G62" s="15" t="n"/>
      <c r="H62" s="15" t="n"/>
      <c r="I62" s="18">
        <f>IFERROR(D62*INDEX('Scoring Summary'!$C$6:$C$11,MATCH(E62,'Scoring Summary'!$B$6:$B$11,0)),"")</f>
        <v/>
      </c>
    </row>
    <row r="63" ht="30" customHeight="1">
      <c r="A63" s="13" t="inlineStr">
        <is>
          <t>2.5.4</t>
        </is>
      </c>
      <c r="B63" s="14" t="inlineStr">
        <is>
          <t>The platform must support outbound webhooks triggered on segment entry or exit.</t>
        </is>
      </c>
      <c r="C63" s="17" t="inlineStr">
        <is>
          <t>Must</t>
        </is>
      </c>
      <c r="D63" s="17" t="n">
        <v>4</v>
      </c>
      <c r="E63" s="15" t="n"/>
      <c r="F63" s="15" t="n"/>
      <c r="G63" s="15" t="n"/>
      <c r="H63" s="15" t="n"/>
      <c r="I63" s="18">
        <f>IFERROR(D63*INDEX('Scoring Summary'!$C$6:$C$11,MATCH(E63,'Scoring Summary'!$B$6:$B$11,0)),"")</f>
        <v/>
      </c>
    </row>
    <row r="64" ht="30" customHeight="1">
      <c r="A64" s="13" t="inlineStr">
        <is>
          <t>2.5.5</t>
        </is>
      </c>
      <c r="B64" s="14" t="inlineStr">
        <is>
          <t>Describe any journey or campaign orchestration capability native to the platform, as distinct from activation into an external tool.</t>
        </is>
      </c>
      <c r="C64" s="17" t="inlineStr">
        <is>
          <t>Should</t>
        </is>
      </c>
      <c r="D64" s="17" t="n">
        <v>3</v>
      </c>
      <c r="E64" s="15" t="n"/>
      <c r="F64" s="15" t="n"/>
      <c r="G64" s="15" t="n"/>
      <c r="H64" s="15" t="n"/>
      <c r="I64" s="18">
        <f>IFERROR(D64*INDEX('Scoring Summary'!$C$6:$C$11,MATCH(E64,'Scoring Summary'!$B$6:$B$11,0)),"")</f>
        <v/>
      </c>
    </row>
    <row r="65" ht="30" customHeight="1">
      <c r="A65" s="13" t="inlineStr">
        <is>
          <t>2.5.6</t>
        </is>
      </c>
      <c r="B65" s="14" t="inlineStr">
        <is>
          <t>Describe throttling and rate-limit handling when a destination system rejects or delays writes.</t>
        </is>
      </c>
      <c r="C65" s="17" t="inlineStr">
        <is>
          <t>Should</t>
        </is>
      </c>
      <c r="D65" s="17" t="n">
        <v>3</v>
      </c>
      <c r="E65" s="15" t="n"/>
      <c r="F65" s="15" t="n"/>
      <c r="G65" s="15" t="n"/>
      <c r="H65" s="15" t="n"/>
      <c r="I65" s="18">
        <f>IFERROR(D65*INDEX('Scoring Summary'!$C$6:$C$11,MATCH(E65,'Scoring Summary'!$B$6:$B$11,0)),"")</f>
        <v/>
      </c>
    </row>
    <row r="66" ht="30" customHeight="1">
      <c r="A66" s="13" t="inlineStr">
        <is>
          <t>2.5.7</t>
        </is>
      </c>
      <c r="B66" s="14" t="inlineStr">
        <is>
          <t>Describe error visibility for failed activations, including whether a business user can see and retry failures without vendor support.</t>
        </is>
      </c>
      <c r="C66" s="17" t="inlineStr">
        <is>
          <t>Must</t>
        </is>
      </c>
      <c r="D66" s="17" t="n">
        <v>4</v>
      </c>
      <c r="E66" s="15" t="n"/>
      <c r="F66" s="15" t="n"/>
      <c r="G66" s="15" t="n"/>
      <c r="H66" s="15" t="n"/>
      <c r="I66" s="18">
        <f>IFERROR(D66*INDEX('Scoring Summary'!$C$6:$C$11,MATCH(E66,'Scoring Summary'!$B$6:$B$11,0)),"")</f>
        <v/>
      </c>
    </row>
    <row r="67" ht="30" customHeight="1">
      <c r="A67" s="13" t="inlineStr">
        <is>
          <t>2.5.8</t>
        </is>
      </c>
      <c r="B67" s="14" t="inlineStr">
        <is>
          <t>State the expected end-to-end latency from qualifying event to delivery of an audience update at a downstream destination.</t>
        </is>
      </c>
      <c r="C67" s="17" t="inlineStr">
        <is>
          <t>Should</t>
        </is>
      </c>
      <c r="D67" s="17" t="n">
        <v>4</v>
      </c>
      <c r="E67" s="15" t="n"/>
      <c r="F67" s="15" t="n"/>
      <c r="G67" s="15" t="n"/>
      <c r="H67" s="15" t="n"/>
      <c r="I67" s="18">
        <f>IFERROR(D67*INDEX('Scoring Summary'!$C$6:$C$11,MATCH(E67,'Scoring Summary'!$B$6:$B$11,0)),"")</f>
        <v/>
      </c>
    </row>
    <row r="68" ht="30" customHeight="1">
      <c r="A68" s="13" t="inlineStr">
        <is>
          <t>2.5.9</t>
        </is>
      </c>
      <c r="B68" s="14" t="inlineStr">
        <is>
          <t>Describe support for activation of individual profile attributes, as distinct from segment membership alone.</t>
        </is>
      </c>
      <c r="C68" s="17" t="inlineStr">
        <is>
          <t>Should</t>
        </is>
      </c>
      <c r="D68" s="17" t="n">
        <v>3</v>
      </c>
      <c r="E68" s="15" t="n"/>
      <c r="F68" s="15" t="n"/>
      <c r="G68" s="15" t="n"/>
      <c r="H68" s="15" t="n"/>
      <c r="I68" s="18">
        <f>IFERROR(D68*INDEX('Scoring Summary'!$C$6:$C$11,MATCH(E68,'Scoring Summary'!$B$6:$B$11,0)),"")</f>
        <v/>
      </c>
    </row>
    <row r="69" ht="30" customHeight="1">
      <c r="A69" s="13" t="inlineStr">
        <is>
          <t>2.5.10</t>
        </is>
      </c>
      <c r="B69" s="14" t="inlineStr">
        <is>
          <t>Describe how consent state is enforced at activation time to prevent contacting a customer who has withdrawn consent.</t>
        </is>
      </c>
      <c r="C69" s="17" t="inlineStr">
        <is>
          <t>Must</t>
        </is>
      </c>
      <c r="D69" s="17" t="n">
        <v>5</v>
      </c>
      <c r="E69" s="15" t="n"/>
      <c r="F69" s="15" t="n"/>
      <c r="G69" s="15" t="n"/>
      <c r="H69" s="15" t="n"/>
      <c r="I69" s="18">
        <f>IFERROR(D69*INDEX('Scoring Summary'!$C$6:$C$11,MATCH(E69,'Scoring Summary'!$B$6:$B$11,0)),"")</f>
        <v/>
      </c>
    </row>
    <row r="70" ht="30" customHeight="1">
      <c r="A70" s="13" t="inlineStr">
        <is>
          <t>2.5.11</t>
        </is>
      </c>
      <c r="B70" s="14" t="inlineStr">
        <is>
          <t>Describe support for scheduled versus continuously syncing activations.</t>
        </is>
      </c>
      <c r="C70" s="17" t="inlineStr">
        <is>
          <t>Should</t>
        </is>
      </c>
      <c r="D70" s="17" t="n">
        <v>3</v>
      </c>
      <c r="E70" s="15" t="n"/>
      <c r="F70" s="15" t="n"/>
      <c r="G70" s="15" t="n"/>
      <c r="H70" s="15" t="n"/>
      <c r="I70" s="18">
        <f>IFERROR(D70*INDEX('Scoring Summary'!$C$6:$C$11,MATCH(E70,'Scoring Summary'!$B$6:$B$11,0)),"")</f>
        <v/>
      </c>
    </row>
    <row r="71">
      <c r="A71" s="11" t="inlineStr">
        <is>
          <t>2.6  Analytics and Reporting</t>
        </is>
      </c>
      <c r="B71" s="12" t="n"/>
      <c r="C71" s="12" t="n"/>
      <c r="D71" s="12" t="n"/>
      <c r="E71" s="12" t="n"/>
      <c r="F71" s="12" t="n"/>
      <c r="G71" s="12" t="n"/>
      <c r="H71" s="12" t="n"/>
      <c r="I71" s="12" t="n"/>
    </row>
    <row r="72" ht="30" customHeight="1">
      <c r="A72" s="13" t="inlineStr">
        <is>
          <t>2.6.1</t>
        </is>
      </c>
      <c r="B72" s="14" t="inlineStr">
        <is>
          <t>Describe the standard reporting available on segment performance and audience growth.</t>
        </is>
      </c>
      <c r="C72" s="17" t="inlineStr">
        <is>
          <t>Should</t>
        </is>
      </c>
      <c r="D72" s="17" t="n">
        <v>3</v>
      </c>
      <c r="E72" s="15" t="n"/>
      <c r="F72" s="15" t="n"/>
      <c r="G72" s="15" t="n"/>
      <c r="H72" s="15" t="n"/>
      <c r="I72" s="18">
        <f>IFERROR(D72*INDEX('Scoring Summary'!$C$6:$C$11,MATCH(E72,'Scoring Summary'!$B$6:$B$11,0)),"")</f>
        <v/>
      </c>
    </row>
    <row r="73" ht="30" customHeight="1">
      <c r="A73" s="13" t="inlineStr">
        <is>
          <t>2.6.2</t>
        </is>
      </c>
      <c r="B73" s="14" t="inlineStr">
        <is>
          <t>The platform must allow a business user to build an ad hoc report without engineering involvement.</t>
        </is>
      </c>
      <c r="C73" s="17" t="inlineStr">
        <is>
          <t>Should</t>
        </is>
      </c>
      <c r="D73" s="17" t="n">
        <v>3</v>
      </c>
      <c r="E73" s="15" t="n"/>
      <c r="F73" s="15" t="n"/>
      <c r="G73" s="15" t="n"/>
      <c r="H73" s="15" t="n"/>
      <c r="I73" s="18">
        <f>IFERROR(D73*INDEX('Scoring Summary'!$C$6:$C$11,MATCH(E73,'Scoring Summary'!$B$6:$B$11,0)),"")</f>
        <v/>
      </c>
    </row>
    <row r="74" ht="30" customHeight="1">
      <c r="A74" s="13" t="inlineStr">
        <is>
          <t>2.6.3</t>
        </is>
      </c>
      <c r="B74" s="14" t="inlineStr">
        <is>
          <t>Describe support for funnel and cohort analysis on ingested event data.</t>
        </is>
      </c>
      <c r="C74" s="17" t="inlineStr">
        <is>
          <t>Should</t>
        </is>
      </c>
      <c r="D74" s="17" t="n">
        <v>3</v>
      </c>
      <c r="E74" s="15" t="n"/>
      <c r="F74" s="15" t="n"/>
      <c r="G74" s="15" t="n"/>
      <c r="H74" s="15" t="n"/>
      <c r="I74" s="18">
        <f>IFERROR(D74*INDEX('Scoring Summary'!$C$6:$C$11,MATCH(E74,'Scoring Summary'!$B$6:$B$11,0)),"")</f>
        <v/>
      </c>
    </row>
    <row r="75" ht="30" customHeight="1">
      <c r="A75" s="13" t="inlineStr">
        <is>
          <t>2.6.4</t>
        </is>
      </c>
      <c r="B75" s="14" t="inlineStr">
        <is>
          <t>Describe export of reporting data to a business intelligence tool.</t>
        </is>
      </c>
      <c r="C75" s="17" t="inlineStr">
        <is>
          <t>Should</t>
        </is>
      </c>
      <c r="D75" s="17" t="n">
        <v>3</v>
      </c>
      <c r="E75" s="15" t="n"/>
      <c r="F75" s="15" t="n"/>
      <c r="G75" s="15" t="n"/>
      <c r="H75" s="15" t="n"/>
      <c r="I75" s="18">
        <f>IFERROR(D75*INDEX('Scoring Summary'!$C$6:$C$11,MATCH(E75,'Scoring Summary'!$B$6:$B$11,0)),"")</f>
        <v/>
      </c>
    </row>
    <row r="76" ht="30" customHeight="1">
      <c r="A76" s="13" t="inlineStr">
        <is>
          <t>2.6.5</t>
        </is>
      </c>
      <c r="B76" s="14" t="inlineStr">
        <is>
          <t>Describe any attribution modelling capability, and state which models are supported.</t>
        </is>
      </c>
      <c r="C76" s="17" t="inlineStr">
        <is>
          <t>Nice</t>
        </is>
      </c>
      <c r="D76" s="17" t="n">
        <v>2</v>
      </c>
      <c r="E76" s="15" t="n"/>
      <c r="F76" s="15" t="n"/>
      <c r="G76" s="15" t="n"/>
      <c r="H76" s="15" t="n"/>
      <c r="I76" s="18">
        <f>IFERROR(D76*INDEX('Scoring Summary'!$C$6:$C$11,MATCH(E76,'Scoring Summary'!$B$6:$B$11,0)),"")</f>
        <v/>
      </c>
    </row>
    <row r="77" ht="30" customHeight="1">
      <c r="A77" s="13" t="inlineStr">
        <is>
          <t>2.6.6</t>
        </is>
      </c>
      <c r="B77" s="14" t="inlineStr">
        <is>
          <t>State the data freshness of reporting relative to event ingestion.</t>
        </is>
      </c>
      <c r="C77" s="17" t="inlineStr">
        <is>
          <t>Should</t>
        </is>
      </c>
      <c r="D77" s="17" t="n">
        <v>3</v>
      </c>
      <c r="E77" s="15" t="n"/>
      <c r="F77" s="15" t="n"/>
      <c r="G77" s="15" t="n"/>
      <c r="H77" s="15" t="n"/>
      <c r="I77" s="18">
        <f>IFERROR(D77*INDEX('Scoring Summary'!$C$6:$C$11,MATCH(E77,'Scoring Summary'!$B$6:$B$11,0)),"")</f>
        <v/>
      </c>
    </row>
    <row r="78" ht="30" customHeight="1">
      <c r="A78" s="13" t="inlineStr">
        <is>
          <t>2.6.7</t>
        </is>
      </c>
      <c r="B78" s="14" t="inlineStr">
        <is>
          <t>Describe dashboarding capability, including whether dashboards can be shared with users who do not hold a full platform licence.</t>
        </is>
      </c>
      <c r="C78" s="17" t="inlineStr">
        <is>
          <t>Nice</t>
        </is>
      </c>
      <c r="D78" s="17" t="n">
        <v>2</v>
      </c>
      <c r="E78" s="15" t="n"/>
      <c r="F78" s="15" t="n"/>
      <c r="G78" s="15" t="n"/>
      <c r="H78" s="15" t="n"/>
      <c r="I78" s="18">
        <f>IFERROR(D78*INDEX('Scoring Summary'!$C$6:$C$11,MATCH(E78,'Scoring Summary'!$B$6:$B$11,0)),"")</f>
        <v/>
      </c>
    </row>
    <row r="79" ht="30" customHeight="1">
      <c r="A79" s="13" t="inlineStr">
        <is>
          <t>2.6.8</t>
        </is>
      </c>
      <c r="B79" s="14" t="inlineStr">
        <is>
          <t>Describe alerting on anomalous changes in segment size or ingestion volume.</t>
        </is>
      </c>
      <c r="C79" s="17" t="inlineStr">
        <is>
          <t>Should</t>
        </is>
      </c>
      <c r="D79" s="17" t="n">
        <v>3</v>
      </c>
      <c r="E79" s="15" t="n"/>
      <c r="F79" s="15" t="n"/>
      <c r="G79" s="15" t="n"/>
      <c r="H79" s="15" t="n"/>
      <c r="I79" s="18">
        <f>IFERROR(D79*INDEX('Scoring Summary'!$C$6:$C$11,MATCH(E79,'Scoring Summary'!$B$6:$B$11,0)),"")</f>
        <v/>
      </c>
    </row>
    <row r="80" ht="30" customHeight="1">
      <c r="A80" s="13" t="inlineStr">
        <is>
          <t>2.6.9</t>
        </is>
      </c>
      <c r="B80" s="14" t="inlineStr">
        <is>
          <t>Describe availability of raw event data for independent analysis outside the platform.</t>
        </is>
      </c>
      <c r="C80" s="17" t="inlineStr">
        <is>
          <t>Should</t>
        </is>
      </c>
      <c r="D80" s="17" t="n">
        <v>3</v>
      </c>
      <c r="E80" s="15" t="n"/>
      <c r="F80" s="15" t="n"/>
      <c r="G80" s="15" t="n"/>
      <c r="H80" s="15" t="n"/>
      <c r="I80" s="18">
        <f>IFERROR(D80*INDEX('Scoring Summary'!$C$6:$C$11,MATCH(E80,'Scoring Summary'!$B$6:$B$11,0)),"")</f>
        <v/>
      </c>
    </row>
    <row r="81">
      <c r="A81" s="11" t="inlineStr">
        <is>
          <t>2.7  Consent and Preference Management</t>
        </is>
      </c>
      <c r="B81" s="12" t="n"/>
      <c r="C81" s="12" t="n"/>
      <c r="D81" s="12" t="n"/>
      <c r="E81" s="12" t="n"/>
      <c r="F81" s="12" t="n"/>
      <c r="G81" s="12" t="n"/>
      <c r="H81" s="12" t="n"/>
      <c r="I81" s="12" t="n"/>
    </row>
    <row r="82" ht="30" customHeight="1">
      <c r="A82" s="13" t="inlineStr">
        <is>
          <t>2.7.1</t>
        </is>
      </c>
      <c r="B82" s="14" t="inlineStr">
        <is>
          <t>The platform must record and store customer consent state per processing purpose.</t>
        </is>
      </c>
      <c r="C82" s="17" t="inlineStr">
        <is>
          <t>Must</t>
        </is>
      </c>
      <c r="D82" s="17" t="n">
        <v>5</v>
      </c>
      <c r="E82" s="15" t="n"/>
      <c r="F82" s="15" t="n"/>
      <c r="G82" s="15" t="n"/>
      <c r="H82" s="15" t="n"/>
      <c r="I82" s="18">
        <f>IFERROR(D82*INDEX('Scoring Summary'!$C$6:$C$11,MATCH(E82,'Scoring Summary'!$B$6:$B$11,0)),"")</f>
        <v/>
      </c>
    </row>
    <row r="83" ht="30" customHeight="1">
      <c r="A83" s="13" t="inlineStr">
        <is>
          <t>2.7.2</t>
        </is>
      </c>
      <c r="B83" s="14" t="inlineStr">
        <is>
          <t>Describe integration with a consent management platform, and name any supported vendors.</t>
        </is>
      </c>
      <c r="C83" s="17" t="inlineStr">
        <is>
          <t>Should</t>
        </is>
      </c>
      <c r="D83" s="17" t="n">
        <v>4</v>
      </c>
      <c r="E83" s="15" t="n"/>
      <c r="F83" s="15" t="n"/>
      <c r="G83" s="15" t="n"/>
      <c r="H83" s="15" t="n"/>
      <c r="I83" s="18">
        <f>IFERROR(D83*INDEX('Scoring Summary'!$C$6:$C$11,MATCH(E83,'Scoring Summary'!$B$6:$B$11,0)),"")</f>
        <v/>
      </c>
    </row>
    <row r="84" ht="30" customHeight="1">
      <c r="A84" s="13" t="inlineStr">
        <is>
          <t>2.7.3</t>
        </is>
      </c>
      <c r="B84" s="14" t="inlineStr">
        <is>
          <t>The platform must prevent activation of a customer to a destination for which consent has not been granted.</t>
        </is>
      </c>
      <c r="C84" s="17" t="inlineStr">
        <is>
          <t>Must</t>
        </is>
      </c>
      <c r="D84" s="17" t="n">
        <v>5</v>
      </c>
      <c r="E84" s="15" t="n"/>
      <c r="F84" s="15" t="n"/>
      <c r="G84" s="15" t="n"/>
      <c r="H84" s="15" t="n"/>
      <c r="I84" s="18">
        <f>IFERROR(D84*INDEX('Scoring Summary'!$C$6:$C$11,MATCH(E84,'Scoring Summary'!$B$6:$B$11,0)),"")</f>
        <v/>
      </c>
    </row>
    <row r="85" ht="30" customHeight="1">
      <c r="A85" s="13" t="inlineStr">
        <is>
          <t>2.7.4</t>
        </is>
      </c>
      <c r="B85" s="14" t="inlineStr">
        <is>
          <t>Describe the audit trail retained for consent state changes, including timestamp and source of the change.</t>
        </is>
      </c>
      <c r="C85" s="17" t="inlineStr">
        <is>
          <t>Must</t>
        </is>
      </c>
      <c r="D85" s="17" t="n">
        <v>4</v>
      </c>
      <c r="E85" s="15" t="n"/>
      <c r="F85" s="15" t="n"/>
      <c r="G85" s="15" t="n"/>
      <c r="H85" s="15" t="n"/>
      <c r="I85" s="18">
        <f>IFERROR(D85*INDEX('Scoring Summary'!$C$6:$C$11,MATCH(E85,'Scoring Summary'!$B$6:$B$11,0)),"")</f>
        <v/>
      </c>
    </row>
    <row r="86" ht="30" customHeight="1">
      <c r="A86" s="13" t="inlineStr">
        <is>
          <t>2.7.5</t>
        </is>
      </c>
      <c r="B86" s="14" t="inlineStr">
        <is>
          <t>Describe support for granular communication preferences, such as channel-level and frequency-level opt-out.</t>
        </is>
      </c>
      <c r="C86" s="17" t="inlineStr">
        <is>
          <t>Should</t>
        </is>
      </c>
      <c r="D86" s="17" t="n">
        <v>4</v>
      </c>
      <c r="E86" s="15" t="n"/>
      <c r="F86" s="15" t="n"/>
      <c r="G86" s="15" t="n"/>
      <c r="H86" s="15" t="n"/>
      <c r="I86" s="18">
        <f>IFERROR(D86*INDEX('Scoring Summary'!$C$6:$C$11,MATCH(E86,'Scoring Summary'!$B$6:$B$11,0)),"")</f>
        <v/>
      </c>
    </row>
    <row r="87" ht="30" customHeight="1">
      <c r="A87" s="13" t="inlineStr">
        <is>
          <t>2.7.6</t>
        </is>
      </c>
      <c r="B87" s="14" t="inlineStr">
        <is>
          <t>Describe how consent withdrawal propagates to downstream destinations already holding the customer record.</t>
        </is>
      </c>
      <c r="C87" s="17" t="inlineStr">
        <is>
          <t>Must</t>
        </is>
      </c>
      <c r="D87" s="17" t="n">
        <v>5</v>
      </c>
      <c r="E87" s="15" t="n"/>
      <c r="F87" s="15" t="n"/>
      <c r="G87" s="15" t="n"/>
      <c r="H87" s="15" t="n"/>
      <c r="I87" s="18">
        <f>IFERROR(D87*INDEX('Scoring Summary'!$C$6:$C$11,MATCH(E87,'Scoring Summary'!$B$6:$B$11,0)),"")</f>
        <v/>
      </c>
    </row>
    <row r="88" ht="30" customHeight="1">
      <c r="A88" s="13" t="inlineStr">
        <is>
          <t>2.7.7</t>
        </is>
      </c>
      <c r="B88" s="14" t="inlineStr">
        <is>
          <t>Describe support for jurisdiction-specific consent models, including opt-in versus opt-out defaults.</t>
        </is>
      </c>
      <c r="C88" s="17" t="inlineStr">
        <is>
          <t>Should</t>
        </is>
      </c>
      <c r="D88" s="17" t="n">
        <v>4</v>
      </c>
      <c r="E88" s="15" t="n"/>
      <c r="F88" s="15" t="n"/>
      <c r="G88" s="15" t="n"/>
      <c r="H88" s="15" t="n"/>
      <c r="I88" s="18">
        <f>IFERROR(D88*INDEX('Scoring Summary'!$C$6:$C$11,MATCH(E88,'Scoring Summary'!$B$6:$B$11,0)),"")</f>
        <v/>
      </c>
    </row>
    <row r="89" ht="30" customHeight="1">
      <c r="A89" s="13" t="inlineStr">
        <is>
          <t>2.7.8</t>
        </is>
      </c>
      <c r="B89" s="14" t="inlineStr">
        <is>
          <t>Describe handling of consent for customers whose age or jurisdiction is unknown.</t>
        </is>
      </c>
      <c r="C89" s="17" t="inlineStr">
        <is>
          <t>Should</t>
        </is>
      </c>
      <c r="D89" s="17" t="n">
        <v>3</v>
      </c>
      <c r="E89" s="15" t="n"/>
      <c r="F89" s="15" t="n"/>
      <c r="G89" s="15" t="n"/>
      <c r="H89" s="15" t="n"/>
      <c r="I89" s="18">
        <f>IFERROR(D89*INDEX('Scoring Summary'!$C$6:$C$11,MATCH(E89,'Scoring Summary'!$B$6:$B$11,0)),"")</f>
        <v/>
      </c>
    </row>
    <row r="90" ht="30" customHeight="1">
      <c r="A90" s="13" t="inlineStr">
        <is>
          <t>2.7.9</t>
        </is>
      </c>
      <c r="B90" s="14" t="inlineStr">
        <is>
          <t>Describe any capability to capture consent directly through a platform-hosted preference centre.</t>
        </is>
      </c>
      <c r="C90" s="17" t="inlineStr">
        <is>
          <t>Nice</t>
        </is>
      </c>
      <c r="D90" s="17" t="n">
        <v>2</v>
      </c>
      <c r="E90" s="15" t="n"/>
      <c r="F90" s="15" t="n"/>
      <c r="G90" s="15" t="n"/>
      <c r="H90" s="15" t="n"/>
      <c r="I90" s="18">
        <f>IFERROR(D90*INDEX('Scoring Summary'!$C$6:$C$11,MATCH(E90,'Scoring Summary'!$B$6:$B$11,0)),"")</f>
        <v/>
      </c>
    </row>
  </sheetData>
  <autoFilter ref="A8:I90"/>
  <mergeCells count="9">
    <mergeCell ref="A59:I59"/>
    <mergeCell ref="A81:I81"/>
    <mergeCell ref="A71:I71"/>
    <mergeCell ref="A10:I10"/>
    <mergeCell ref="A46:I46"/>
    <mergeCell ref="A1:I1"/>
    <mergeCell ref="A6:I6"/>
    <mergeCell ref="A22:I22"/>
    <mergeCell ref="A35:I35"/>
  </mergeCells>
  <dataValidations count="1">
    <dataValidation sqref="E11:E90" showDropDown="0" showInputMessage="0" showErrorMessage="0" allowBlank="1" errorTitle="Invalid compliance level" error="Select one of the six defined compliance levels. See the Instructions tab." type="list">
      <formula1>"Standard,Configuration,Customization,Third-Party,Roadmap,Not Supported"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4" customWidth="1" min="2" max="2"/>
    <col width="10" customWidth="1" min="3" max="3"/>
    <col width="9" customWidth="1" min="4" max="4"/>
    <col width="18" customWidth="1" min="5" max="5"/>
    <col width="46" customWidth="1" min="6" max="6"/>
    <col width="26" customWidth="1" min="7" max="7"/>
    <col width="16" customWidth="1" min="8" max="8"/>
    <col width="10" customWidth="1" min="9" max="9"/>
  </cols>
  <sheetData>
    <row r="1">
      <c r="A1" s="8" t="inlineStr">
        <is>
          <t>Section 3 - Technical Requirements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6" ht="30" customHeight="1">
      <c r="A6" s="5" t="inlineStr">
        <is>
          <t>Technical requirements cover platform architecture, scale, and extensibility. Responses will be evaluated by Alderwood's enterprise architecture and data engineering teams.</t>
        </is>
      </c>
    </row>
    <row r="8">
      <c r="A8" s="9" t="inlineStr">
        <is>
          <t>Req ID</t>
        </is>
      </c>
      <c r="B8" s="9" t="inlineStr">
        <is>
          <t>Requirement</t>
        </is>
      </c>
      <c r="C8" s="9" t="inlineStr">
        <is>
          <t>Priority</t>
        </is>
      </c>
      <c r="D8" s="9" t="inlineStr">
        <is>
          <t>Weight</t>
        </is>
      </c>
      <c r="E8" s="9" t="inlineStr">
        <is>
          <t>Compliance Level</t>
        </is>
      </c>
      <c r="F8" s="9" t="inlineStr">
        <is>
          <t>Vendor Comments</t>
        </is>
      </c>
      <c r="G8" s="9" t="inlineStr">
        <is>
          <t>Supporting Doc Reference</t>
        </is>
      </c>
      <c r="H8" s="9" t="inlineStr">
        <is>
          <t>Cost Impact (USD)</t>
        </is>
      </c>
      <c r="I8" s="9" t="inlineStr">
        <is>
          <t>Score</t>
        </is>
      </c>
    </row>
    <row r="9" ht="28" customHeight="1">
      <c r="A9" s="10" t="inlineStr">
        <is>
          <t>EXAMPLE</t>
        </is>
      </c>
      <c r="B9" s="10" t="inlineStr">
        <is>
          <t>(Example row illustrating the expected response format. Do not submit a response against this row.)</t>
        </is>
      </c>
      <c r="C9" s="10" t="inlineStr">
        <is>
          <t>Must</t>
        </is>
      </c>
      <c r="D9" s="10" t="n">
        <v>5</v>
      </c>
      <c r="E9" s="10" t="inlineStr">
        <is>
          <t>Configuration</t>
        </is>
      </c>
      <c r="F9" s="10" t="inlineStr">
        <is>
          <t>Supported in the current release. Requires an administrator to enable the feature and map source fields during onboarding.</t>
        </is>
      </c>
      <c r="G9" s="10" t="inlineStr">
        <is>
          <t>Admin Guide s.4.2, p.31</t>
        </is>
      </c>
      <c r="H9" s="10" t="n">
        <v>0</v>
      </c>
      <c r="I9" s="16" t="inlineStr">
        <is>
          <t>(not scored)</t>
        </is>
      </c>
    </row>
    <row r="10">
      <c r="A10" s="11" t="inlineStr">
        <is>
          <t>3.1  Architecture and Deployment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30" customHeight="1">
      <c r="A11" s="13" t="inlineStr">
        <is>
          <t>3.1.1</t>
        </is>
      </c>
      <c r="B11" s="14" t="inlineStr">
        <is>
          <t>Describe the platform's deployment architecture, including cloud provider and the degree of tenant isolation.</t>
        </is>
      </c>
      <c r="C11" s="17" t="inlineStr">
        <is>
          <t>Must</t>
        </is>
      </c>
      <c r="D11" s="17" t="n">
        <v>4</v>
      </c>
      <c r="E11" s="15" t="n"/>
      <c r="F11" s="15" t="n"/>
      <c r="G11" s="15" t="n"/>
      <c r="H11" s="15" t="n"/>
      <c r="I11" s="18">
        <f>IFERROR(D11*INDEX('Scoring Summary'!$C$6:$C$11,MATCH(E11,'Scoring Summary'!$B$6:$B$11,0)),"")</f>
        <v/>
      </c>
    </row>
    <row r="12" ht="30" customHeight="1">
      <c r="A12" s="13" t="inlineStr">
        <is>
          <t>3.1.2</t>
        </is>
      </c>
      <c r="B12" s="14" t="inlineStr">
        <is>
          <t>Confirm whether a single-tenant or dedicated-infrastructure deployment is available. Alderwood's security team has a stated preference for single-tenant deployment for PII-heavy workloads.</t>
        </is>
      </c>
      <c r="C12" s="17" t="inlineStr">
        <is>
          <t>Must</t>
        </is>
      </c>
      <c r="D12" s="17" t="n">
        <v>4</v>
      </c>
      <c r="E12" s="15" t="n"/>
      <c r="F12" s="15" t="n"/>
      <c r="G12" s="15" t="n"/>
      <c r="H12" s="15" t="n"/>
      <c r="I12" s="18">
        <f>IFERROR(D12*INDEX('Scoring Summary'!$C$6:$C$11,MATCH(E12,'Scoring Summary'!$B$6:$B$11,0)),"")</f>
        <v/>
      </c>
    </row>
    <row r="13" ht="30" customHeight="1">
      <c r="A13" s="13" t="inlineStr">
        <is>
          <t>3.1.3</t>
        </is>
      </c>
      <c r="B13" s="14" t="inlineStr">
        <is>
          <t>State the regions in which customer data may be hosted. Alderwood requires United States data residency at minimum.</t>
        </is>
      </c>
      <c r="C13" s="17" t="inlineStr">
        <is>
          <t>Must</t>
        </is>
      </c>
      <c r="D13" s="17" t="n">
        <v>5</v>
      </c>
      <c r="E13" s="15" t="n"/>
      <c r="F13" s="15" t="n"/>
      <c r="G13" s="15" t="n"/>
      <c r="H13" s="15" t="n"/>
      <c r="I13" s="18">
        <f>IFERROR(D13*INDEX('Scoring Summary'!$C$6:$C$11,MATCH(E13,'Scoring Summary'!$B$6:$B$11,0)),"")</f>
        <v/>
      </c>
    </row>
    <row r="14" ht="30" customHeight="1">
      <c r="A14" s="13" t="inlineStr">
        <is>
          <t>3.1.4</t>
        </is>
      </c>
      <c r="B14" s="14" t="inlineStr">
        <is>
          <t>Describe the environment model available to customers, including whether a non-production sandbox is provided and whether it is separately licensed.</t>
        </is>
      </c>
      <c r="C14" s="17" t="inlineStr">
        <is>
          <t>Must</t>
        </is>
      </c>
      <c r="D14" s="17" t="n">
        <v>4</v>
      </c>
      <c r="E14" s="15" t="n"/>
      <c r="F14" s="15" t="n"/>
      <c r="G14" s="15" t="n"/>
      <c r="H14" s="15" t="n"/>
      <c r="I14" s="18">
        <f>IFERROR(D14*INDEX('Scoring Summary'!$C$6:$C$11,MATCH(E14,'Scoring Summary'!$B$6:$B$11,0)),"")</f>
        <v/>
      </c>
    </row>
    <row r="15" ht="30" customHeight="1">
      <c r="A15" s="13" t="inlineStr">
        <is>
          <t>3.1.5</t>
        </is>
      </c>
      <c r="B15" s="14" t="inlineStr">
        <is>
          <t>Describe how platform upgrades are delivered, including whether customers may defer a release and what notice is given.</t>
        </is>
      </c>
      <c r="C15" s="17" t="inlineStr">
        <is>
          <t>Should</t>
        </is>
      </c>
      <c r="D15" s="17" t="n">
        <v>3</v>
      </c>
      <c r="E15" s="15" t="n"/>
      <c r="F15" s="15" t="n"/>
      <c r="G15" s="15" t="n"/>
      <c r="H15" s="15" t="n"/>
      <c r="I15" s="18">
        <f>IFERROR(D15*INDEX('Scoring Summary'!$C$6:$C$11,MATCH(E15,'Scoring Summary'!$B$6:$B$11,0)),"")</f>
        <v/>
      </c>
    </row>
    <row r="16" ht="30" customHeight="1">
      <c r="A16" s="13" t="inlineStr">
        <is>
          <t>3.1.6</t>
        </is>
      </c>
      <c r="B16" s="14" t="inlineStr">
        <is>
          <t>Describe the change management process for breaking API changes, including the deprecation window offered.</t>
        </is>
      </c>
      <c r="C16" s="17" t="inlineStr">
        <is>
          <t>Must</t>
        </is>
      </c>
      <c r="D16" s="17" t="n">
        <v>4</v>
      </c>
      <c r="E16" s="15" t="n"/>
      <c r="F16" s="15" t="n"/>
      <c r="G16" s="15" t="n"/>
      <c r="H16" s="15" t="n"/>
      <c r="I16" s="18">
        <f>IFERROR(D16*INDEX('Scoring Summary'!$C$6:$C$11,MATCH(E16,'Scoring Summary'!$B$6:$B$11,0)),"")</f>
        <v/>
      </c>
    </row>
    <row r="17" ht="30" customHeight="1">
      <c r="A17" s="13" t="inlineStr">
        <is>
          <t>3.1.7</t>
        </is>
      </c>
      <c r="B17" s="14" t="inlineStr">
        <is>
          <t>Describe any dependency on third-party subprocessors within the request path for real-time operations.</t>
        </is>
      </c>
      <c r="C17" s="17" t="inlineStr">
        <is>
          <t>Should</t>
        </is>
      </c>
      <c r="D17" s="17" t="n">
        <v>3</v>
      </c>
      <c r="E17" s="15" t="n"/>
      <c r="F17" s="15" t="n"/>
      <c r="G17" s="15" t="n"/>
      <c r="H17" s="15" t="n"/>
      <c r="I17" s="18">
        <f>IFERROR(D17*INDEX('Scoring Summary'!$C$6:$C$11,MATCH(E17,'Scoring Summary'!$B$6:$B$11,0)),"")</f>
        <v/>
      </c>
    </row>
    <row r="18" ht="30" customHeight="1">
      <c r="A18" s="13" t="inlineStr">
        <is>
          <t>3.1.8</t>
        </is>
      </c>
      <c r="B18" s="14" t="inlineStr">
        <is>
          <t>Confirm whether the platform is offered as a customer-managed deployment within Alderwood's own cloud account.</t>
        </is>
      </c>
      <c r="C18" s="17" t="inlineStr">
        <is>
          <t>Nice</t>
        </is>
      </c>
      <c r="D18" s="17" t="n">
        <v>2</v>
      </c>
      <c r="E18" s="15" t="n"/>
      <c r="F18" s="15" t="n"/>
      <c r="G18" s="15" t="n"/>
      <c r="H18" s="15" t="n"/>
      <c r="I18" s="18">
        <f>IFERROR(D18*INDEX('Scoring Summary'!$C$6:$C$11,MATCH(E18,'Scoring Summary'!$B$6:$B$11,0)),"")</f>
        <v/>
      </c>
    </row>
    <row r="19" ht="30" customHeight="1">
      <c r="A19" s="13" t="inlineStr">
        <is>
          <t>3.1.9</t>
        </is>
      </c>
      <c r="B19" s="14" t="inlineStr">
        <is>
          <t>Describe the platform's multi-region failover architecture and whether failover is automatic.</t>
        </is>
      </c>
      <c r="C19" s="17" t="inlineStr">
        <is>
          <t>Should</t>
        </is>
      </c>
      <c r="D19" s="17" t="n">
        <v>4</v>
      </c>
      <c r="E19" s="15" t="n"/>
      <c r="F19" s="15" t="n"/>
      <c r="G19" s="15" t="n"/>
      <c r="H19" s="15" t="n"/>
      <c r="I19" s="18">
        <f>IFERROR(D19*INDEX('Scoring Summary'!$C$6:$C$11,MATCH(E19,'Scoring Summary'!$B$6:$B$11,0)),"")</f>
        <v/>
      </c>
    </row>
    <row r="20">
      <c r="A20" s="11" t="inlineStr">
        <is>
          <t>3.2  Scalability and Performance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13" t="inlineStr">
        <is>
          <t>3.2.1</t>
        </is>
      </c>
      <c r="B21" s="14" t="inlineStr">
        <is>
          <t>State the largest production deployment on the platform today, measured in tracked customer profiles and monthly event volume.</t>
        </is>
      </c>
      <c r="C21" s="17" t="inlineStr">
        <is>
          <t>Must</t>
        </is>
      </c>
      <c r="D21" s="17" t="n">
        <v>4</v>
      </c>
      <c r="E21" s="15" t="n"/>
      <c r="F21" s="15" t="n"/>
      <c r="G21" s="15" t="n"/>
      <c r="H21" s="15" t="n"/>
      <c r="I21" s="18">
        <f>IFERROR(D21*INDEX('Scoring Summary'!$C$6:$C$11,MATCH(E21,'Scoring Summary'!$B$6:$B$11,0)),"")</f>
        <v/>
      </c>
    </row>
    <row r="22" ht="30" customHeight="1">
      <c r="A22" s="13" t="inlineStr">
        <is>
          <t>3.2.2</t>
        </is>
      </c>
      <c r="B22" s="14" t="inlineStr">
        <is>
          <t>Confirm the platform can support 2.1 million tracked customer profiles with headroom for 20 percent annual growth.</t>
        </is>
      </c>
      <c r="C22" s="17" t="inlineStr">
        <is>
          <t>Must</t>
        </is>
      </c>
      <c r="D22" s="17" t="n">
        <v>5</v>
      </c>
      <c r="E22" s="15" t="n"/>
      <c r="F22" s="15" t="n"/>
      <c r="G22" s="15" t="n"/>
      <c r="H22" s="15" t="n"/>
      <c r="I22" s="18">
        <f>IFERROR(D22*INDEX('Scoring Summary'!$C$6:$C$11,MATCH(E22,'Scoring Summary'!$B$6:$B$11,0)),"")</f>
        <v/>
      </c>
    </row>
    <row r="23" ht="30" customHeight="1">
      <c r="A23" s="13" t="inlineStr">
        <is>
          <t>3.2.3</t>
        </is>
      </c>
      <c r="B23" s="14" t="inlineStr">
        <is>
          <t>State expected peak event throughput supported, and describe behaviour when that ceiling is exceeded.</t>
        </is>
      </c>
      <c r="C23" s="17" t="inlineStr">
        <is>
          <t>Must</t>
        </is>
      </c>
      <c r="D23" s="17" t="n">
        <v>4</v>
      </c>
      <c r="E23" s="15" t="n"/>
      <c r="F23" s="15" t="n"/>
      <c r="G23" s="15" t="n"/>
      <c r="H23" s="15" t="n"/>
      <c r="I23" s="18">
        <f>IFERROR(D23*INDEX('Scoring Summary'!$C$6:$C$11,MATCH(E23,'Scoring Summary'!$B$6:$B$11,0)),"")</f>
        <v/>
      </c>
    </row>
    <row r="24" ht="30" customHeight="1">
      <c r="A24" s="13" t="inlineStr">
        <is>
          <t>3.2.4</t>
        </is>
      </c>
      <c r="B24" s="14" t="inlineStr">
        <is>
          <t>Describe platform behaviour during a retail peak event such as the week following American Thanksgiving, when Alderwood's traffic increases approximately fivefold.</t>
        </is>
      </c>
      <c r="C24" s="17" t="inlineStr">
        <is>
          <t>Must</t>
        </is>
      </c>
      <c r="D24" s="17" t="n">
        <v>5</v>
      </c>
      <c r="E24" s="15" t="n"/>
      <c r="F24" s="15" t="n"/>
      <c r="G24" s="15" t="n"/>
      <c r="H24" s="15" t="n"/>
      <c r="I24" s="18">
        <f>IFERROR(D24*INDEX('Scoring Summary'!$C$6:$C$11,MATCH(E24,'Scoring Summary'!$B$6:$B$11,0)),"")</f>
        <v/>
      </c>
    </row>
    <row r="25" ht="30" customHeight="1">
      <c r="A25" s="13" t="inlineStr">
        <is>
          <t>3.2.5</t>
        </is>
      </c>
      <c r="B25" s="14" t="inlineStr">
        <is>
          <t>State the published API rate limits and describe whether they can be raised contractually.</t>
        </is>
      </c>
      <c r="C25" s="17" t="inlineStr">
        <is>
          <t>Must</t>
        </is>
      </c>
      <c r="D25" s="17" t="n">
        <v>4</v>
      </c>
      <c r="E25" s="15" t="n"/>
      <c r="F25" s="15" t="n"/>
      <c r="G25" s="15" t="n"/>
      <c r="H25" s="15" t="n"/>
      <c r="I25" s="18">
        <f>IFERROR(D25*INDEX('Scoring Summary'!$C$6:$C$11,MATCH(E25,'Scoring Summary'!$B$6:$B$11,0)),"")</f>
        <v/>
      </c>
    </row>
    <row r="26" ht="30" customHeight="1">
      <c r="A26" s="13" t="inlineStr">
        <is>
          <t>3.2.6</t>
        </is>
      </c>
      <c r="B26" s="14" t="inlineStr">
        <is>
          <t>State the p50 and p99 latency for a single profile lookup by identifier.</t>
        </is>
      </c>
      <c r="C26" s="17" t="inlineStr">
        <is>
          <t>Should</t>
        </is>
      </c>
      <c r="D26" s="17" t="n">
        <v>4</v>
      </c>
      <c r="E26" s="15" t="n"/>
      <c r="F26" s="15" t="n"/>
      <c r="G26" s="15" t="n"/>
      <c r="H26" s="15" t="n"/>
      <c r="I26" s="18">
        <f>IFERROR(D26*INDEX('Scoring Summary'!$C$6:$C$11,MATCH(E26,'Scoring Summary'!$B$6:$B$11,0)),"")</f>
        <v/>
      </c>
    </row>
    <row r="27" ht="30" customHeight="1">
      <c r="A27" s="13" t="inlineStr">
        <is>
          <t>3.2.7</t>
        </is>
      </c>
      <c r="B27" s="14" t="inlineStr">
        <is>
          <t>Describe how query performance degrades as profile count and event history grow.</t>
        </is>
      </c>
      <c r="C27" s="17" t="inlineStr">
        <is>
          <t>Should</t>
        </is>
      </c>
      <c r="D27" s="17" t="n">
        <v>3</v>
      </c>
      <c r="E27" s="15" t="n"/>
      <c r="F27" s="15" t="n"/>
      <c r="G27" s="15" t="n"/>
      <c r="H27" s="15" t="n"/>
      <c r="I27" s="18">
        <f>IFERROR(D27*INDEX('Scoring Summary'!$C$6:$C$11,MATCH(E27,'Scoring Summary'!$B$6:$B$11,0)),"")</f>
        <v/>
      </c>
    </row>
    <row r="28" ht="30" customHeight="1">
      <c r="A28" s="13" t="inlineStr">
        <is>
          <t>3.2.8</t>
        </is>
      </c>
      <c r="B28" s="14" t="inlineStr">
        <is>
          <t>Describe any batch processing windows during which platform functionality is reduced.</t>
        </is>
      </c>
      <c r="C28" s="17" t="inlineStr">
        <is>
          <t>Should</t>
        </is>
      </c>
      <c r="D28" s="17" t="n">
        <v>3</v>
      </c>
      <c r="E28" s="15" t="n"/>
      <c r="F28" s="15" t="n"/>
      <c r="G28" s="15" t="n"/>
      <c r="H28" s="15" t="n"/>
      <c r="I28" s="18">
        <f>IFERROR(D28*INDEX('Scoring Summary'!$C$6:$C$11,MATCH(E28,'Scoring Summary'!$B$6:$B$11,0)),"")</f>
        <v/>
      </c>
    </row>
    <row r="29" ht="30" customHeight="1">
      <c r="A29" s="13" t="inlineStr">
        <is>
          <t>3.2.9</t>
        </is>
      </c>
      <c r="B29" s="14" t="inlineStr">
        <is>
          <t>Describe capacity planning support provided ahead of a known traffic peak.</t>
        </is>
      </c>
      <c r="C29" s="17" t="inlineStr">
        <is>
          <t>Nice</t>
        </is>
      </c>
      <c r="D29" s="17" t="n">
        <v>2</v>
      </c>
      <c r="E29" s="15" t="n"/>
      <c r="F29" s="15" t="n"/>
      <c r="G29" s="15" t="n"/>
      <c r="H29" s="15" t="n"/>
      <c r="I29" s="18">
        <f>IFERROR(D29*INDEX('Scoring Summary'!$C$6:$C$11,MATCH(E29,'Scoring Summary'!$B$6:$B$11,0)),"")</f>
        <v/>
      </c>
    </row>
    <row r="30">
      <c r="A30" s="11" t="inlineStr">
        <is>
          <t>3.3  APIs, SDKs, and Extensibility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30" customHeight="1">
      <c r="A31" s="13" t="inlineStr">
        <is>
          <t>3.3.1</t>
        </is>
      </c>
      <c r="B31" s="14" t="inlineStr">
        <is>
          <t>Describe the REST APIs available for profile read and write operations.</t>
        </is>
      </c>
      <c r="C31" s="17" t="inlineStr">
        <is>
          <t>Must</t>
        </is>
      </c>
      <c r="D31" s="17" t="n">
        <v>4</v>
      </c>
      <c r="E31" s="15" t="n"/>
      <c r="F31" s="15" t="n"/>
      <c r="G31" s="15" t="n"/>
      <c r="H31" s="15" t="n"/>
      <c r="I31" s="18">
        <f>IFERROR(D31*INDEX('Scoring Summary'!$C$6:$C$11,MATCH(E31,'Scoring Summary'!$B$6:$B$11,0)),"")</f>
        <v/>
      </c>
    </row>
    <row r="32" ht="30" customHeight="1">
      <c r="A32" s="13" t="inlineStr">
        <is>
          <t>3.3.2</t>
        </is>
      </c>
      <c r="B32" s="14" t="inlineStr">
        <is>
          <t>Describe the APIs available for programmatic segment creation and management.</t>
        </is>
      </c>
      <c r="C32" s="17" t="inlineStr">
        <is>
          <t>Should</t>
        </is>
      </c>
      <c r="D32" s="17" t="n">
        <v>4</v>
      </c>
      <c r="E32" s="15" t="n"/>
      <c r="F32" s="15" t="n"/>
      <c r="G32" s="15" t="n"/>
      <c r="H32" s="15" t="n"/>
      <c r="I32" s="18">
        <f>IFERROR(D32*INDEX('Scoring Summary'!$C$6:$C$11,MATCH(E32,'Scoring Summary'!$B$6:$B$11,0)),"")</f>
        <v/>
      </c>
    </row>
    <row r="33" ht="30" customHeight="1">
      <c r="A33" s="13" t="inlineStr">
        <is>
          <t>3.3.3</t>
        </is>
      </c>
      <c r="B33" s="14" t="inlineStr">
        <is>
          <t>State whether API documentation is publicly accessible without a customer login, and provide the URL.</t>
        </is>
      </c>
      <c r="C33" s="17" t="inlineStr">
        <is>
          <t>Should</t>
        </is>
      </c>
      <c r="D33" s="17" t="n">
        <v>3</v>
      </c>
      <c r="E33" s="15" t="n"/>
      <c r="F33" s="15" t="n"/>
      <c r="G33" s="15" t="n"/>
      <c r="H33" s="15" t="n"/>
      <c r="I33" s="18">
        <f>IFERROR(D33*INDEX('Scoring Summary'!$C$6:$C$11,MATCH(E33,'Scoring Summary'!$B$6:$B$11,0)),"")</f>
        <v/>
      </c>
    </row>
    <row r="34" ht="30" customHeight="1">
      <c r="A34" s="13" t="inlineStr">
        <is>
          <t>3.3.4</t>
        </is>
      </c>
      <c r="B34" s="14" t="inlineStr">
        <is>
          <t>Describe supported single sign-on protocols for administrative console access.</t>
        </is>
      </c>
      <c r="C34" s="17" t="inlineStr">
        <is>
          <t>Must</t>
        </is>
      </c>
      <c r="D34" s="17" t="n">
        <v>4</v>
      </c>
      <c r="E34" s="15" t="n"/>
      <c r="F34" s="15" t="n"/>
      <c r="G34" s="15" t="n"/>
      <c r="H34" s="15" t="n"/>
      <c r="I34" s="18">
        <f>IFERROR(D34*INDEX('Scoring Summary'!$C$6:$C$11,MATCH(E34,'Scoring Summary'!$B$6:$B$11,0)),"")</f>
        <v/>
      </c>
    </row>
    <row r="35" ht="30" customHeight="1">
      <c r="A35" s="13" t="inlineStr">
        <is>
          <t>3.3.5</t>
        </is>
      </c>
      <c r="B35" s="14" t="inlineStr">
        <is>
          <t>Describe available client SDKs by language and platform, and state which are vendor-maintained.</t>
        </is>
      </c>
      <c r="C35" s="17" t="inlineStr">
        <is>
          <t>Should</t>
        </is>
      </c>
      <c r="D35" s="17" t="n">
        <v>3</v>
      </c>
      <c r="E35" s="15" t="n"/>
      <c r="F35" s="15" t="n"/>
      <c r="G35" s="15" t="n"/>
      <c r="H35" s="15" t="n"/>
      <c r="I35" s="18">
        <f>IFERROR(D35*INDEX('Scoring Summary'!$C$6:$C$11,MATCH(E35,'Scoring Summary'!$B$6:$B$11,0)),"")</f>
        <v/>
      </c>
    </row>
    <row r="36" ht="30" customHeight="1">
      <c r="A36" s="13" t="inlineStr">
        <is>
          <t>3.3.6</t>
        </is>
      </c>
      <c r="B36" s="14" t="inlineStr">
        <is>
          <t>Describe webhook capability, including delivery guarantees, retry behaviour, and signature verification.</t>
        </is>
      </c>
      <c r="C36" s="17" t="inlineStr">
        <is>
          <t>Must</t>
        </is>
      </c>
      <c r="D36" s="17" t="n">
        <v>4</v>
      </c>
      <c r="E36" s="15" t="n"/>
      <c r="F36" s="15" t="n"/>
      <c r="G36" s="15" t="n"/>
      <c r="H36" s="15" t="n"/>
      <c r="I36" s="18">
        <f>IFERROR(D36*INDEX('Scoring Summary'!$C$6:$C$11,MATCH(E36,'Scoring Summary'!$B$6:$B$11,0)),"")</f>
        <v/>
      </c>
    </row>
    <row r="37" ht="30" customHeight="1">
      <c r="A37" s="13" t="inlineStr">
        <is>
          <t>3.3.7</t>
        </is>
      </c>
      <c r="B37" s="14" t="inlineStr">
        <is>
          <t>Confirm whether a managed connector is available for streaming raw event data into a Kafka topic for downstream consumption by Alderwood's data engineering team.</t>
        </is>
      </c>
      <c r="C37" s="17" t="inlineStr">
        <is>
          <t>Must</t>
        </is>
      </c>
      <c r="D37" s="17" t="n">
        <v>4</v>
      </c>
      <c r="E37" s="15" t="n"/>
      <c r="F37" s="15" t="n"/>
      <c r="G37" s="15" t="n"/>
      <c r="H37" s="15" t="n"/>
      <c r="I37" s="18">
        <f>IFERROR(D37*INDEX('Scoring Summary'!$C$6:$C$11,MATCH(E37,'Scoring Summary'!$B$6:$B$11,0)),"")</f>
        <v/>
      </c>
    </row>
    <row r="38" ht="30" customHeight="1">
      <c r="A38" s="13" t="inlineStr">
        <is>
          <t>3.3.8</t>
        </is>
      </c>
      <c r="B38" s="14" t="inlineStr">
        <is>
          <t>Describe support for customer-authored transformation logic executed within the platform.</t>
        </is>
      </c>
      <c r="C38" s="17" t="inlineStr">
        <is>
          <t>Should</t>
        </is>
      </c>
      <c r="D38" s="17" t="n">
        <v>3</v>
      </c>
      <c r="E38" s="15" t="n"/>
      <c r="F38" s="15" t="n"/>
      <c r="G38" s="15" t="n"/>
      <c r="H38" s="15" t="n"/>
      <c r="I38" s="18">
        <f>IFERROR(D38*INDEX('Scoring Summary'!$C$6:$C$11,MATCH(E38,'Scoring Summary'!$B$6:$B$11,0)),"")</f>
        <v/>
      </c>
    </row>
    <row r="39" ht="30" customHeight="1">
      <c r="A39" s="13" t="inlineStr">
        <is>
          <t>3.3.9</t>
        </is>
      </c>
      <c r="B39" s="14" t="inlineStr">
        <is>
          <t>List pre-built connectors for e-commerce platforms and state which are vendor-maintained versus partner-maintained.</t>
        </is>
      </c>
      <c r="C39" s="17" t="inlineStr">
        <is>
          <t>Should</t>
        </is>
      </c>
      <c r="D39" s="17" t="n">
        <v>3</v>
      </c>
      <c r="E39" s="15" t="n"/>
      <c r="F39" s="15" t="n"/>
      <c r="G39" s="15" t="n"/>
      <c r="H39" s="15" t="n"/>
      <c r="I39" s="18">
        <f>IFERROR(D39*INDEX('Scoring Summary'!$C$6:$C$11,MATCH(E39,'Scoring Summary'!$B$6:$B$11,0)),"")</f>
        <v/>
      </c>
    </row>
    <row r="40" ht="30" customHeight="1">
      <c r="A40" s="13" t="inlineStr">
        <is>
          <t>3.3.10</t>
        </is>
      </c>
      <c r="B40" s="14" t="inlineStr">
        <is>
          <t>Describe the process and typical timeline for building a connector not present in the catalogue.</t>
        </is>
      </c>
      <c r="C40" s="17" t="inlineStr">
        <is>
          <t>Should</t>
        </is>
      </c>
      <c r="D40" s="17" t="n">
        <v>3</v>
      </c>
      <c r="E40" s="15" t="n"/>
      <c r="F40" s="15" t="n"/>
      <c r="G40" s="15" t="n"/>
      <c r="H40" s="15" t="n"/>
      <c r="I40" s="18">
        <f>IFERROR(D40*INDEX('Scoring Summary'!$C$6:$C$11,MATCH(E40,'Scoring Summary'!$B$6:$B$11,0)),"")</f>
        <v/>
      </c>
    </row>
    <row r="41" ht="30" customHeight="1">
      <c r="A41" s="13" t="inlineStr">
        <is>
          <t>3.3.11</t>
        </is>
      </c>
      <c r="B41" s="14" t="inlineStr">
        <is>
          <t>Describe API versioning policy, including how long a prior version remains supported.</t>
        </is>
      </c>
      <c r="C41" s="17" t="inlineStr">
        <is>
          <t>Should</t>
        </is>
      </c>
      <c r="D41" s="17" t="n">
        <v>3</v>
      </c>
      <c r="E41" s="15" t="n"/>
      <c r="F41" s="15" t="n"/>
      <c r="G41" s="15" t="n"/>
      <c r="H41" s="15" t="n"/>
      <c r="I41" s="18">
        <f>IFERROR(D41*INDEX('Scoring Summary'!$C$6:$C$11,MATCH(E41,'Scoring Summary'!$B$6:$B$11,0)),"")</f>
        <v/>
      </c>
    </row>
    <row r="42">
      <c r="A42" s="11" t="inlineStr">
        <is>
          <t>3.4  Data Management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ht="30" customHeight="1">
      <c r="A43" s="13" t="inlineStr">
        <is>
          <t>3.4.1</t>
        </is>
      </c>
      <c r="B43" s="14" t="inlineStr">
        <is>
          <t>Describe the data model, including whether the event schema is fixed or customer-defined.</t>
        </is>
      </c>
      <c r="C43" s="17" t="inlineStr">
        <is>
          <t>Must</t>
        </is>
      </c>
      <c r="D43" s="17" t="n">
        <v>4</v>
      </c>
      <c r="E43" s="15" t="n"/>
      <c r="F43" s="15" t="n"/>
      <c r="G43" s="15" t="n"/>
      <c r="H43" s="15" t="n"/>
      <c r="I43" s="18">
        <f>IFERROR(D43*INDEX('Scoring Summary'!$C$6:$C$11,MATCH(E43,'Scoring Summary'!$B$6:$B$11,0)),"")</f>
        <v/>
      </c>
    </row>
    <row r="44" ht="30" customHeight="1">
      <c r="A44" s="13" t="inlineStr">
        <is>
          <t>3.4.2</t>
        </is>
      </c>
      <c r="B44" s="14" t="inlineStr">
        <is>
          <t>State any limit on the number of custom attributes that may be defined per customer profile.</t>
        </is>
      </c>
      <c r="C44" s="17" t="inlineStr">
        <is>
          <t>Should</t>
        </is>
      </c>
      <c r="D44" s="17" t="n">
        <v>3</v>
      </c>
      <c r="E44" s="15" t="n"/>
      <c r="F44" s="15" t="n"/>
      <c r="G44" s="15" t="n"/>
      <c r="H44" s="15" t="n"/>
      <c r="I44" s="18">
        <f>IFERROR(D44*INDEX('Scoring Summary'!$C$6:$C$11,MATCH(E44,'Scoring Summary'!$B$6:$B$11,0)),"")</f>
        <v/>
      </c>
    </row>
    <row r="45" ht="30" customHeight="1">
      <c r="A45" s="13" t="inlineStr">
        <is>
          <t>3.4.3</t>
        </is>
      </c>
      <c r="B45" s="14" t="inlineStr">
        <is>
          <t>Confirm that Alderwood may export the full contents of its data at any time, and state whether an export fee applies.</t>
        </is>
      </c>
      <c r="C45" s="17" t="inlineStr">
        <is>
          <t>Must</t>
        </is>
      </c>
      <c r="D45" s="17" t="n">
        <v>5</v>
      </c>
      <c r="E45" s="15" t="n"/>
      <c r="F45" s="15" t="n"/>
      <c r="G45" s="15" t="n"/>
      <c r="H45" s="15" t="n"/>
      <c r="I45" s="18">
        <f>IFERROR(D45*INDEX('Scoring Summary'!$C$6:$C$11,MATCH(E45,'Scoring Summary'!$B$6:$B$11,0)),"")</f>
        <v/>
      </c>
    </row>
    <row r="46" ht="30" customHeight="1">
      <c r="A46" s="13" t="inlineStr">
        <is>
          <t>3.4.4</t>
        </is>
      </c>
      <c r="B46" s="14" t="inlineStr">
        <is>
          <t>Describe supported export formats and the mechanism by which an export is initiated.</t>
        </is>
      </c>
      <c r="C46" s="17" t="inlineStr">
        <is>
          <t>Must</t>
        </is>
      </c>
      <c r="D46" s="17" t="n">
        <v>4</v>
      </c>
      <c r="E46" s="15" t="n"/>
      <c r="F46" s="15" t="n"/>
      <c r="G46" s="15" t="n"/>
      <c r="H46" s="15" t="n"/>
      <c r="I46" s="18">
        <f>IFERROR(D46*INDEX('Scoring Summary'!$C$6:$C$11,MATCH(E46,'Scoring Summary'!$B$6:$B$11,0)),"")</f>
        <v/>
      </c>
    </row>
    <row r="47" ht="30" customHeight="1">
      <c r="A47" s="13" t="inlineStr">
        <is>
          <t>3.4.5</t>
        </is>
      </c>
      <c r="B47" s="14" t="inlineStr">
        <is>
          <t>Describe data deletion behaviour on contract termination, including the period after which data is irrecoverably destroyed.</t>
        </is>
      </c>
      <c r="C47" s="17" t="inlineStr">
        <is>
          <t>Must</t>
        </is>
      </c>
      <c r="D47" s="17" t="n">
        <v>5</v>
      </c>
      <c r="E47" s="15" t="n"/>
      <c r="F47" s="15" t="n"/>
      <c r="G47" s="15" t="n"/>
      <c r="H47" s="15" t="n"/>
      <c r="I47" s="18">
        <f>IFERROR(D47*INDEX('Scoring Summary'!$C$6:$C$11,MATCH(E47,'Scoring Summary'!$B$6:$B$11,0)),"")</f>
        <v/>
      </c>
    </row>
    <row r="48" ht="30" customHeight="1">
      <c r="A48" s="13" t="inlineStr">
        <is>
          <t>3.4.6</t>
        </is>
      </c>
      <c r="B48" s="14" t="inlineStr">
        <is>
          <t>Describe data lineage capability, specifically the ability to trace a profile attribute back to the source record that produced it.</t>
        </is>
      </c>
      <c r="C48" s="17" t="inlineStr">
        <is>
          <t>Should</t>
        </is>
      </c>
      <c r="D48" s="17" t="n">
        <v>4</v>
      </c>
      <c r="E48" s="15" t="n"/>
      <c r="F48" s="15" t="n"/>
      <c r="G48" s="15" t="n"/>
      <c r="H48" s="15" t="n"/>
      <c r="I48" s="18">
        <f>IFERROR(D48*INDEX('Scoring Summary'!$C$6:$C$11,MATCH(E48,'Scoring Summary'!$B$6:$B$11,0)),"")</f>
        <v/>
      </c>
    </row>
    <row r="49" ht="30" customHeight="1">
      <c r="A49" s="13" t="inlineStr">
        <is>
          <t>3.4.7</t>
        </is>
      </c>
      <c r="B49" s="14" t="inlineStr">
        <is>
          <t>Describe data quality monitoring available on ingested data, including detection of schema drift.</t>
        </is>
      </c>
      <c r="C49" s="17" t="inlineStr">
        <is>
          <t>Should</t>
        </is>
      </c>
      <c r="D49" s="17" t="n">
        <v>3</v>
      </c>
      <c r="E49" s="15" t="n"/>
      <c r="F49" s="15" t="n"/>
      <c r="G49" s="15" t="n"/>
      <c r="H49" s="15" t="n"/>
      <c r="I49" s="18">
        <f>IFERROR(D49*INDEX('Scoring Summary'!$C$6:$C$11,MATCH(E49,'Scoring Summary'!$B$6:$B$11,0)),"")</f>
        <v/>
      </c>
    </row>
    <row r="50" ht="30" customHeight="1">
      <c r="A50" s="13" t="inlineStr">
        <is>
          <t>3.4.8</t>
        </is>
      </c>
      <c r="B50" s="14" t="inlineStr">
        <is>
          <t>Describe support for backfilling historical data at initial load, and state any volume limits on backfill.</t>
        </is>
      </c>
      <c r="C50" s="17" t="inlineStr">
        <is>
          <t>Must</t>
        </is>
      </c>
      <c r="D50" s="17" t="n">
        <v>4</v>
      </c>
      <c r="E50" s="15" t="n"/>
      <c r="F50" s="15" t="n"/>
      <c r="G50" s="15" t="n"/>
      <c r="H50" s="15" t="n"/>
      <c r="I50" s="18">
        <f>IFERROR(D50*INDEX('Scoring Summary'!$C$6:$C$11,MATCH(E50,'Scoring Summary'!$B$6:$B$11,0)),"")</f>
        <v/>
      </c>
    </row>
    <row r="51" ht="30" customHeight="1">
      <c r="A51" s="13" t="inlineStr">
        <is>
          <t>3.4.9</t>
        </is>
      </c>
      <c r="B51" s="14" t="inlineStr">
        <is>
          <t>Describe deduplication of identical events delivered more than once.</t>
        </is>
      </c>
      <c r="C51" s="17" t="inlineStr">
        <is>
          <t>Should</t>
        </is>
      </c>
      <c r="D51" s="17" t="n">
        <v>3</v>
      </c>
      <c r="E51" s="15" t="n"/>
      <c r="F51" s="15" t="n"/>
      <c r="G51" s="15" t="n"/>
      <c r="H51" s="15" t="n"/>
      <c r="I51" s="18">
        <f>IFERROR(D51*INDEX('Scoring Summary'!$C$6:$C$11,MATCH(E51,'Scoring Summary'!$B$6:$B$11,0)),"")</f>
        <v/>
      </c>
    </row>
    <row r="52">
      <c r="A52" s="11" t="inlineStr">
        <is>
          <t>3.5  Monitoring and Observability</t>
        </is>
      </c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 ht="30" customHeight="1">
      <c r="A53" s="13" t="inlineStr">
        <is>
          <t>3.5.1</t>
        </is>
      </c>
      <c r="B53" s="14" t="inlineStr">
        <is>
          <t>Describe the operational dashboards available to a customer administrator for monitoring ingestion health.</t>
        </is>
      </c>
      <c r="C53" s="17" t="inlineStr">
        <is>
          <t>Should</t>
        </is>
      </c>
      <c r="D53" s="17" t="n">
        <v>3</v>
      </c>
      <c r="E53" s="15" t="n"/>
      <c r="F53" s="15" t="n"/>
      <c r="G53" s="15" t="n"/>
      <c r="H53" s="15" t="n"/>
      <c r="I53" s="18">
        <f>IFERROR(D53*INDEX('Scoring Summary'!$C$6:$C$11,MATCH(E53,'Scoring Summary'!$B$6:$B$11,0)),"")</f>
        <v/>
      </c>
    </row>
    <row r="54" ht="30" customHeight="1">
      <c r="A54" s="13" t="inlineStr">
        <is>
          <t>3.5.2</t>
        </is>
      </c>
      <c r="B54" s="14" t="inlineStr">
        <is>
          <t>Describe alerting available on ingestion failure or pipeline delay, including supported notification channels.</t>
        </is>
      </c>
      <c r="C54" s="17" t="inlineStr">
        <is>
          <t>Must</t>
        </is>
      </c>
      <c r="D54" s="17" t="n">
        <v>4</v>
      </c>
      <c r="E54" s="15" t="n"/>
      <c r="F54" s="15" t="n"/>
      <c r="G54" s="15" t="n"/>
      <c r="H54" s="15" t="n"/>
      <c r="I54" s="18">
        <f>IFERROR(D54*INDEX('Scoring Summary'!$C$6:$C$11,MATCH(E54,'Scoring Summary'!$B$6:$B$11,0)),"")</f>
        <v/>
      </c>
    </row>
    <row r="55" ht="30" customHeight="1">
      <c r="A55" s="13" t="inlineStr">
        <is>
          <t>3.5.3</t>
        </is>
      </c>
      <c r="B55" s="14" t="inlineStr">
        <is>
          <t>Confirm the availability of a public status page and state whether historical uptime is published.</t>
        </is>
      </c>
      <c r="C55" s="17" t="inlineStr">
        <is>
          <t>Must</t>
        </is>
      </c>
      <c r="D55" s="17" t="n">
        <v>3</v>
      </c>
      <c r="E55" s="15" t="n"/>
      <c r="F55" s="15" t="n"/>
      <c r="G55" s="15" t="n"/>
      <c r="H55" s="15" t="n"/>
      <c r="I55" s="18">
        <f>IFERROR(D55*INDEX('Scoring Summary'!$C$6:$C$11,MATCH(E55,'Scoring Summary'!$B$6:$B$11,0)),"")</f>
        <v/>
      </c>
    </row>
    <row r="56" ht="30" customHeight="1">
      <c r="A56" s="13" t="inlineStr">
        <is>
          <t>3.5.4</t>
        </is>
      </c>
      <c r="B56" s="14" t="inlineStr">
        <is>
          <t>Describe how planned maintenance is communicated and the notice period given.</t>
        </is>
      </c>
      <c r="C56" s="17" t="inlineStr">
        <is>
          <t>Should</t>
        </is>
      </c>
      <c r="D56" s="17" t="n">
        <v>3</v>
      </c>
      <c r="E56" s="15" t="n"/>
      <c r="F56" s="15" t="n"/>
      <c r="G56" s="15" t="n"/>
      <c r="H56" s="15" t="n"/>
      <c r="I56" s="18">
        <f>IFERROR(D56*INDEX('Scoring Summary'!$C$6:$C$11,MATCH(E56,'Scoring Summary'!$B$6:$B$11,0)),"")</f>
        <v/>
      </c>
    </row>
    <row r="57" ht="30" customHeight="1">
      <c r="A57" s="13" t="inlineStr">
        <is>
          <t>3.5.5</t>
        </is>
      </c>
      <c r="B57" s="14" t="inlineStr">
        <is>
          <t>Describe whether platform logs can be forwarded to a customer-operated SIEM.</t>
        </is>
      </c>
      <c r="C57" s="17" t="inlineStr">
        <is>
          <t>Should</t>
        </is>
      </c>
      <c r="D57" s="17" t="n">
        <v>4</v>
      </c>
      <c r="E57" s="15" t="n"/>
      <c r="F57" s="15" t="n"/>
      <c r="G57" s="15" t="n"/>
      <c r="H57" s="15" t="n"/>
      <c r="I57" s="18">
        <f>IFERROR(D57*INDEX('Scoring Summary'!$C$6:$C$11,MATCH(E57,'Scoring Summary'!$B$6:$B$11,0)),"")</f>
        <v/>
      </c>
    </row>
    <row r="58" ht="30" customHeight="1">
      <c r="A58" s="13" t="inlineStr">
        <is>
          <t>3.5.6</t>
        </is>
      </c>
      <c r="B58" s="14" t="inlineStr">
        <is>
          <t>State the retention period for operational and diagnostic logs.</t>
        </is>
      </c>
      <c r="C58" s="17" t="inlineStr">
        <is>
          <t>Should</t>
        </is>
      </c>
      <c r="D58" s="17" t="n">
        <v>3</v>
      </c>
      <c r="E58" s="15" t="n"/>
      <c r="F58" s="15" t="n"/>
      <c r="G58" s="15" t="n"/>
      <c r="H58" s="15" t="n"/>
      <c r="I58" s="18">
        <f>IFERROR(D58*INDEX('Scoring Summary'!$C$6:$C$11,MATCH(E58,'Scoring Summary'!$B$6:$B$11,0)),"")</f>
        <v/>
      </c>
    </row>
    <row r="59" ht="30" customHeight="1">
      <c r="A59" s="13" t="inlineStr">
        <is>
          <t>3.5.7</t>
        </is>
      </c>
      <c r="B59" s="14" t="inlineStr">
        <is>
          <t>Describe support for tracing an individual record through the ingestion pipeline for troubleshooting.</t>
        </is>
      </c>
      <c r="C59" s="17" t="inlineStr">
        <is>
          <t>Should</t>
        </is>
      </c>
      <c r="D59" s="17" t="n">
        <v>3</v>
      </c>
      <c r="E59" s="15" t="n"/>
      <c r="F59" s="15" t="n"/>
      <c r="G59" s="15" t="n"/>
      <c r="H59" s="15" t="n"/>
      <c r="I59" s="18">
        <f>IFERROR(D59*INDEX('Scoring Summary'!$C$6:$C$11,MATCH(E59,'Scoring Summary'!$B$6:$B$11,0)),"")</f>
        <v/>
      </c>
    </row>
  </sheetData>
  <autoFilter ref="A8:I59"/>
  <mergeCells count="7">
    <mergeCell ref="A52:I52"/>
    <mergeCell ref="A10:I10"/>
    <mergeCell ref="A42:I42"/>
    <mergeCell ref="A1:I1"/>
    <mergeCell ref="A6:I6"/>
    <mergeCell ref="A20:I20"/>
    <mergeCell ref="A30:I30"/>
  </mergeCells>
  <dataValidations count="1">
    <dataValidation sqref="E11:E59" showDropDown="0" showInputMessage="0" showErrorMessage="0" allowBlank="1" errorTitle="Invalid compliance level" error="Select one of the six defined compliance levels. See the Instructions tab." type="list">
      <formula1>"Standard,Configuration,Customization,Third-Party,Roadmap,Not Supported"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4" customWidth="1" min="2" max="2"/>
    <col width="10" customWidth="1" min="3" max="3"/>
    <col width="9" customWidth="1" min="4" max="4"/>
    <col width="18" customWidth="1" min="5" max="5"/>
    <col width="46" customWidth="1" min="6" max="6"/>
    <col width="26" customWidth="1" min="7" max="7"/>
    <col width="16" customWidth="1" min="8" max="8"/>
    <col width="10" customWidth="1" min="9" max="9"/>
  </cols>
  <sheetData>
    <row r="1">
      <c r="A1" s="8" t="inlineStr">
        <is>
          <t>Section 4 - Information Security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6" ht="30" customHeight="1">
      <c r="A6" s="5" t="inlineStr">
        <is>
          <t>This section follows a standardised security questionnaire structure. Alderwood's information security team will score this section independently. A 'Not Supported' response against a Must requirement in this section is presumptively disqualifying.</t>
        </is>
      </c>
    </row>
    <row r="8">
      <c r="A8" s="9" t="inlineStr">
        <is>
          <t>Req ID</t>
        </is>
      </c>
      <c r="B8" s="9" t="inlineStr">
        <is>
          <t>Requirement</t>
        </is>
      </c>
      <c r="C8" s="9" t="inlineStr">
        <is>
          <t>Priority</t>
        </is>
      </c>
      <c r="D8" s="9" t="inlineStr">
        <is>
          <t>Weight</t>
        </is>
      </c>
      <c r="E8" s="9" t="inlineStr">
        <is>
          <t>Compliance Level</t>
        </is>
      </c>
      <c r="F8" s="9" t="inlineStr">
        <is>
          <t>Vendor Comments</t>
        </is>
      </c>
      <c r="G8" s="9" t="inlineStr">
        <is>
          <t>Supporting Doc Reference</t>
        </is>
      </c>
      <c r="H8" s="9" t="inlineStr">
        <is>
          <t>Cost Impact (USD)</t>
        </is>
      </c>
      <c r="I8" s="9" t="inlineStr">
        <is>
          <t>Score</t>
        </is>
      </c>
    </row>
    <row r="9" ht="28" customHeight="1">
      <c r="A9" s="10" t="inlineStr">
        <is>
          <t>EXAMPLE</t>
        </is>
      </c>
      <c r="B9" s="10" t="inlineStr">
        <is>
          <t>(Example row illustrating the expected response format. Do not submit a response against this row.)</t>
        </is>
      </c>
      <c r="C9" s="10" t="inlineStr">
        <is>
          <t>Must</t>
        </is>
      </c>
      <c r="D9" s="10" t="n">
        <v>5</v>
      </c>
      <c r="E9" s="10" t="inlineStr">
        <is>
          <t>Configuration</t>
        </is>
      </c>
      <c r="F9" s="10" t="inlineStr">
        <is>
          <t>Supported in the current release. Requires an administrator to enable the feature and map source fields during onboarding.</t>
        </is>
      </c>
      <c r="G9" s="10" t="inlineStr">
        <is>
          <t>Admin Guide s.4.2, p.31</t>
        </is>
      </c>
      <c r="H9" s="10" t="n">
        <v>0</v>
      </c>
      <c r="I9" s="16" t="inlineStr">
        <is>
          <t>(not scored)</t>
        </is>
      </c>
    </row>
    <row r="10">
      <c r="A10" s="11" t="inlineStr">
        <is>
          <t>4.1  Security Governance and Certification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30" customHeight="1">
      <c r="A11" s="13" t="inlineStr">
        <is>
          <t>4.1.1</t>
        </is>
      </c>
      <c r="B11" s="14" t="inlineStr">
        <is>
          <t>List all current security certifications and attestations, including SOC 2, ISO 27001, and PCI DSS, and state the availability of each report.</t>
        </is>
      </c>
      <c r="C11" s="17" t="inlineStr">
        <is>
          <t>Must</t>
        </is>
      </c>
      <c r="D11" s="17" t="n">
        <v>5</v>
      </c>
      <c r="E11" s="15" t="n"/>
      <c r="F11" s="15" t="n"/>
      <c r="G11" s="15" t="n"/>
      <c r="H11" s="15" t="n"/>
      <c r="I11" s="18">
        <f>IFERROR(D11*INDEX('Scoring Summary'!$C$6:$C$11,MATCH(E11,'Scoring Summary'!$B$6:$B$11,0)),"")</f>
        <v/>
      </c>
    </row>
    <row r="12" ht="30" customHeight="1">
      <c r="A12" s="13" t="inlineStr">
        <is>
          <t>4.1.2</t>
        </is>
      </c>
      <c r="B12" s="14" t="inlineStr">
        <is>
          <t>Confirm whether you hold a current SOC 2 Type II attestation and state the date of the most recent report.</t>
        </is>
      </c>
      <c r="C12" s="17" t="inlineStr">
        <is>
          <t>Must</t>
        </is>
      </c>
      <c r="D12" s="17" t="n">
        <v>5</v>
      </c>
      <c r="E12" s="15" t="n"/>
      <c r="F12" s="15" t="n"/>
      <c r="G12" s="15" t="n"/>
      <c r="H12" s="15" t="n"/>
      <c r="I12" s="18">
        <f>IFERROR(D12*INDEX('Scoring Summary'!$C$6:$C$11,MATCH(E12,'Scoring Summary'!$B$6:$B$11,0)),"")</f>
        <v/>
      </c>
    </row>
    <row r="13" ht="30" customHeight="1">
      <c r="A13" s="13" t="inlineStr">
        <is>
          <t>4.1.3</t>
        </is>
      </c>
      <c r="B13" s="14" t="inlineStr">
        <is>
          <t>Confirm whether you hold ISO 27001 certification. If certification is in progress, state the expected completion date.</t>
        </is>
      </c>
      <c r="C13" s="17" t="inlineStr">
        <is>
          <t>Must</t>
        </is>
      </c>
      <c r="D13" s="17" t="n">
        <v>4</v>
      </c>
      <c r="E13" s="15" t="n"/>
      <c r="F13" s="15" t="n"/>
      <c r="G13" s="15" t="n"/>
      <c r="H13" s="15" t="n"/>
      <c r="I13" s="18">
        <f>IFERROR(D13*INDEX('Scoring Summary'!$C$6:$C$11,MATCH(E13,'Scoring Summary'!$B$6:$B$11,0)),"")</f>
        <v/>
      </c>
    </row>
    <row r="14" ht="30" customHeight="1">
      <c r="A14" s="13" t="inlineStr">
        <is>
          <t>4.1.4</t>
        </is>
      </c>
      <c r="B14" s="14" t="inlineStr">
        <is>
          <t>Confirm whether you maintain a documented information security policy reviewed at least annually by executive management.</t>
        </is>
      </c>
      <c r="C14" s="17" t="inlineStr">
        <is>
          <t>Must</t>
        </is>
      </c>
      <c r="D14" s="17" t="n">
        <v>4</v>
      </c>
      <c r="E14" s="15" t="n"/>
      <c r="F14" s="15" t="n"/>
      <c r="G14" s="15" t="n"/>
      <c r="H14" s="15" t="n"/>
      <c r="I14" s="18">
        <f>IFERROR(D14*INDEX('Scoring Summary'!$C$6:$C$11,MATCH(E14,'Scoring Summary'!$B$6:$B$11,0)),"")</f>
        <v/>
      </c>
    </row>
    <row r="15" ht="30" customHeight="1">
      <c r="A15" s="13" t="inlineStr">
        <is>
          <t>4.1.5</t>
        </is>
      </c>
      <c r="B15" s="14" t="inlineStr">
        <is>
          <t>State whether you employ a dedicated Chief Information Security Officer or equivalent, and to whom that role reports.</t>
        </is>
      </c>
      <c r="C15" s="17" t="inlineStr">
        <is>
          <t>Should</t>
        </is>
      </c>
      <c r="D15" s="17" t="n">
        <v>3</v>
      </c>
      <c r="E15" s="15" t="n"/>
      <c r="F15" s="15" t="n"/>
      <c r="G15" s="15" t="n"/>
      <c r="H15" s="15" t="n"/>
      <c r="I15" s="18">
        <f>IFERROR(D15*INDEX('Scoring Summary'!$C$6:$C$11,MATCH(E15,'Scoring Summary'!$B$6:$B$11,0)),"")</f>
        <v/>
      </c>
    </row>
    <row r="16" ht="30" customHeight="1">
      <c r="A16" s="13" t="inlineStr">
        <is>
          <t>4.1.6</t>
        </is>
      </c>
      <c r="B16" s="14" t="inlineStr">
        <is>
          <t>Describe mandatory security awareness training for employees, including frequency.</t>
        </is>
      </c>
      <c r="C16" s="17" t="inlineStr">
        <is>
          <t>Should</t>
        </is>
      </c>
      <c r="D16" s="17" t="n">
        <v>3</v>
      </c>
      <c r="E16" s="15" t="n"/>
      <c r="F16" s="15" t="n"/>
      <c r="G16" s="15" t="n"/>
      <c r="H16" s="15" t="n"/>
      <c r="I16" s="18">
        <f>IFERROR(D16*INDEX('Scoring Summary'!$C$6:$C$11,MATCH(E16,'Scoring Summary'!$B$6:$B$11,0)),"")</f>
        <v/>
      </c>
    </row>
    <row r="17" ht="30" customHeight="1">
      <c r="A17" s="13" t="inlineStr">
        <is>
          <t>4.1.7</t>
        </is>
      </c>
      <c r="B17" s="14" t="inlineStr">
        <is>
          <t>Describe background screening performed on employees with access to customer production data.</t>
        </is>
      </c>
      <c r="C17" s="17" t="inlineStr">
        <is>
          <t>Must</t>
        </is>
      </c>
      <c r="D17" s="17" t="n">
        <v>4</v>
      </c>
      <c r="E17" s="15" t="n"/>
      <c r="F17" s="15" t="n"/>
      <c r="G17" s="15" t="n"/>
      <c r="H17" s="15" t="n"/>
      <c r="I17" s="18">
        <f>IFERROR(D17*INDEX('Scoring Summary'!$C$6:$C$11,MATCH(E17,'Scoring Summary'!$B$6:$B$11,0)),"")</f>
        <v/>
      </c>
    </row>
    <row r="18">
      <c r="A18" s="11" t="inlineStr">
        <is>
          <t>4.2  Identity and Access Management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13" t="inlineStr">
        <is>
          <t>4.2.1</t>
        </is>
      </c>
      <c r="B19" s="14" t="inlineStr">
        <is>
          <t>Confirm support for SAML 2.0 single sign-on for platform user authentication.</t>
        </is>
      </c>
      <c r="C19" s="17" t="inlineStr">
        <is>
          <t>Must</t>
        </is>
      </c>
      <c r="D19" s="17" t="n">
        <v>5</v>
      </c>
      <c r="E19" s="15" t="n"/>
      <c r="F19" s="15" t="n"/>
      <c r="G19" s="15" t="n"/>
      <c r="H19" s="15" t="n"/>
      <c r="I19" s="18">
        <f>IFERROR(D19*INDEX('Scoring Summary'!$C$6:$C$11,MATCH(E19,'Scoring Summary'!$B$6:$B$11,0)),"")</f>
        <v/>
      </c>
    </row>
    <row r="20" ht="30" customHeight="1">
      <c r="A20" s="13" t="inlineStr">
        <is>
          <t>4.2.2</t>
        </is>
      </c>
      <c r="B20" s="14" t="inlineStr">
        <is>
          <t>Confirm support for OpenID Connect as an alternative federation protocol.</t>
        </is>
      </c>
      <c r="C20" s="17" t="inlineStr">
        <is>
          <t>Should</t>
        </is>
      </c>
      <c r="D20" s="17" t="n">
        <v>3</v>
      </c>
      <c r="E20" s="15" t="n"/>
      <c r="F20" s="15" t="n"/>
      <c r="G20" s="15" t="n"/>
      <c r="H20" s="15" t="n"/>
      <c r="I20" s="18">
        <f>IFERROR(D20*INDEX('Scoring Summary'!$C$6:$C$11,MATCH(E20,'Scoring Summary'!$B$6:$B$11,0)),"")</f>
        <v/>
      </c>
    </row>
    <row r="21" ht="30" customHeight="1">
      <c r="A21" s="13" t="inlineStr">
        <is>
          <t>4.2.3</t>
        </is>
      </c>
      <c r="B21" s="14" t="inlineStr">
        <is>
          <t>Confirm support for multi-factor authentication on platform administrator accounts, and state whether it can be enforced organisation-wide.</t>
        </is>
      </c>
      <c r="C21" s="17" t="inlineStr">
        <is>
          <t>Must</t>
        </is>
      </c>
      <c r="D21" s="17" t="n">
        <v>5</v>
      </c>
      <c r="E21" s="15" t="n"/>
      <c r="F21" s="15" t="n"/>
      <c r="G21" s="15" t="n"/>
      <c r="H21" s="15" t="n"/>
      <c r="I21" s="18">
        <f>IFERROR(D21*INDEX('Scoring Summary'!$C$6:$C$11,MATCH(E21,'Scoring Summary'!$B$6:$B$11,0)),"")</f>
        <v/>
      </c>
    </row>
    <row r="22" ht="30" customHeight="1">
      <c r="A22" s="13" t="inlineStr">
        <is>
          <t>4.2.4</t>
        </is>
      </c>
      <c r="B22" s="14" t="inlineStr">
        <is>
          <t>Confirm support for SCIM-based automated user provisioning and deprovisioning.</t>
        </is>
      </c>
      <c r="C22" s="17" t="inlineStr">
        <is>
          <t>Must</t>
        </is>
      </c>
      <c r="D22" s="17" t="n">
        <v>4</v>
      </c>
      <c r="E22" s="15" t="n"/>
      <c r="F22" s="15" t="n"/>
      <c r="G22" s="15" t="n"/>
      <c r="H22" s="15" t="n"/>
      <c r="I22" s="18">
        <f>IFERROR(D22*INDEX('Scoring Summary'!$C$6:$C$11,MATCH(E22,'Scoring Summary'!$B$6:$B$11,0)),"")</f>
        <v/>
      </c>
    </row>
    <row r="23" ht="30" customHeight="1">
      <c r="A23" s="13" t="inlineStr">
        <is>
          <t>4.2.5</t>
        </is>
      </c>
      <c r="B23" s="14" t="inlineStr">
        <is>
          <t>Describe role-based access control, including whether custom roles may be defined by a customer administrator without vendor involvement.</t>
        </is>
      </c>
      <c r="C23" s="17" t="inlineStr">
        <is>
          <t>Must</t>
        </is>
      </c>
      <c r="D23" s="17" t="n">
        <v>5</v>
      </c>
      <c r="E23" s="15" t="n"/>
      <c r="F23" s="15" t="n"/>
      <c r="G23" s="15" t="n"/>
      <c r="H23" s="15" t="n"/>
      <c r="I23" s="18">
        <f>IFERROR(D23*INDEX('Scoring Summary'!$C$6:$C$11,MATCH(E23,'Scoring Summary'!$B$6:$B$11,0)),"")</f>
        <v/>
      </c>
    </row>
    <row r="24" ht="30" customHeight="1">
      <c r="A24" s="13" t="inlineStr">
        <is>
          <t>4.2.6</t>
        </is>
      </c>
      <c r="B24" s="14" t="inlineStr">
        <is>
          <t>Describe whether permissions can be scoped to a subset of customer records, for example restricting a regional manager to loyalty members associated with that region.</t>
        </is>
      </c>
      <c r="C24" s="17" t="inlineStr">
        <is>
          <t>Should</t>
        </is>
      </c>
      <c r="D24" s="17" t="n">
        <v>4</v>
      </c>
      <c r="E24" s="15" t="n"/>
      <c r="F24" s="15" t="n"/>
      <c r="G24" s="15" t="n"/>
      <c r="H24" s="15" t="n"/>
      <c r="I24" s="18">
        <f>IFERROR(D24*INDEX('Scoring Summary'!$C$6:$C$11,MATCH(E24,'Scoring Summary'!$B$6:$B$11,0)),"")</f>
        <v/>
      </c>
    </row>
    <row r="25" ht="30" customHeight="1">
      <c r="A25" s="13" t="inlineStr">
        <is>
          <t>4.2.7</t>
        </is>
      </c>
      <c r="B25" s="14" t="inlineStr">
        <is>
          <t>Describe whether access grants can be issued on a time-bound basis that expires without administrator intervention.</t>
        </is>
      </c>
      <c r="C25" s="17" t="inlineStr">
        <is>
          <t>Should</t>
        </is>
      </c>
      <c r="D25" s="17" t="n">
        <v>3</v>
      </c>
      <c r="E25" s="15" t="n"/>
      <c r="F25" s="15" t="n"/>
      <c r="G25" s="15" t="n"/>
      <c r="H25" s="15" t="n"/>
      <c r="I25" s="18">
        <f>IFERROR(D25*INDEX('Scoring Summary'!$C$6:$C$11,MATCH(E25,'Scoring Summary'!$B$6:$B$11,0)),"")</f>
        <v/>
      </c>
    </row>
    <row r="26" ht="30" customHeight="1">
      <c r="A26" s="13" t="inlineStr">
        <is>
          <t>4.2.8</t>
        </is>
      </c>
      <c r="B26" s="14" t="inlineStr">
        <is>
          <t>Describe the process governing vendor personnel access to customer production data, including whether customer approval is required.</t>
        </is>
      </c>
      <c r="C26" s="17" t="inlineStr">
        <is>
          <t>Must</t>
        </is>
      </c>
      <c r="D26" s="17" t="n">
        <v>5</v>
      </c>
      <c r="E26" s="15" t="n"/>
      <c r="F26" s="15" t="n"/>
      <c r="G26" s="15" t="n"/>
      <c r="H26" s="15" t="n"/>
      <c r="I26" s="18">
        <f>IFERROR(D26*INDEX('Scoring Summary'!$C$6:$C$11,MATCH(E26,'Scoring Summary'!$B$6:$B$11,0)),"")</f>
        <v/>
      </c>
    </row>
    <row r="27" ht="30" customHeight="1">
      <c r="A27" s="13" t="inlineStr">
        <is>
          <t>4.2.9</t>
        </is>
      </c>
      <c r="B27" s="14" t="inlineStr">
        <is>
          <t>Confirm that all administrative actions are captured in an audit log, and state the retention period for that log.</t>
        </is>
      </c>
      <c r="C27" s="17" t="inlineStr">
        <is>
          <t>Must</t>
        </is>
      </c>
      <c r="D27" s="17" t="n">
        <v>4</v>
      </c>
      <c r="E27" s="15" t="n"/>
      <c r="F27" s="15" t="n"/>
      <c r="G27" s="15" t="n"/>
      <c r="H27" s="15" t="n"/>
      <c r="I27" s="18">
        <f>IFERROR(D27*INDEX('Scoring Summary'!$C$6:$C$11,MATCH(E27,'Scoring Summary'!$B$6:$B$11,0)),"")</f>
        <v/>
      </c>
    </row>
    <row r="28" ht="30" customHeight="1">
      <c r="A28" s="13" t="inlineStr">
        <is>
          <t>4.2.10</t>
        </is>
      </c>
      <c r="B28" s="14" t="inlineStr">
        <is>
          <t>Confirm that the audit log is exportable via API for ingestion into a customer-operated SIEM.</t>
        </is>
      </c>
      <c r="C28" s="17" t="inlineStr">
        <is>
          <t>Must</t>
        </is>
      </c>
      <c r="D28" s="17" t="n">
        <v>4</v>
      </c>
      <c r="E28" s="15" t="n"/>
      <c r="F28" s="15" t="n"/>
      <c r="G28" s="15" t="n"/>
      <c r="H28" s="15" t="n"/>
      <c r="I28" s="18">
        <f>IFERROR(D28*INDEX('Scoring Summary'!$C$6:$C$11,MATCH(E28,'Scoring Summary'!$B$6:$B$11,0)),"")</f>
        <v/>
      </c>
    </row>
    <row r="29" ht="30" customHeight="1">
      <c r="A29" s="13" t="inlineStr">
        <is>
          <t>4.2.11</t>
        </is>
      </c>
      <c r="B29" s="14" t="inlineStr">
        <is>
          <t>Describe password policy enforcement for accounts not federated through single sign-on.</t>
        </is>
      </c>
      <c r="C29" s="17" t="inlineStr">
        <is>
          <t>Should</t>
        </is>
      </c>
      <c r="D29" s="17" t="n">
        <v>3</v>
      </c>
      <c r="E29" s="15" t="n"/>
      <c r="F29" s="15" t="n"/>
      <c r="G29" s="15" t="n"/>
      <c r="H29" s="15" t="n"/>
      <c r="I29" s="18">
        <f>IFERROR(D29*INDEX('Scoring Summary'!$C$6:$C$11,MATCH(E29,'Scoring Summary'!$B$6:$B$11,0)),"")</f>
        <v/>
      </c>
    </row>
    <row r="30">
      <c r="A30" s="11" t="inlineStr">
        <is>
          <t>4.3  Data Protection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30" customHeight="1">
      <c r="A31" s="13" t="inlineStr">
        <is>
          <t>4.3.1</t>
        </is>
      </c>
      <c r="B31" s="14" t="inlineStr">
        <is>
          <t>Confirm that customer data is encrypted at rest, and state the cipher and key length used.</t>
        </is>
      </c>
      <c r="C31" s="17" t="inlineStr">
        <is>
          <t>Must</t>
        </is>
      </c>
      <c r="D31" s="17" t="n">
        <v>5</v>
      </c>
      <c r="E31" s="15" t="n"/>
      <c r="F31" s="15" t="n"/>
      <c r="G31" s="15" t="n"/>
      <c r="H31" s="15" t="n"/>
      <c r="I31" s="18">
        <f>IFERROR(D31*INDEX('Scoring Summary'!$C$6:$C$11,MATCH(E31,'Scoring Summary'!$B$6:$B$11,0)),"")</f>
        <v/>
      </c>
    </row>
    <row r="32" ht="30" customHeight="1">
      <c r="A32" s="13" t="inlineStr">
        <is>
          <t>4.3.2</t>
        </is>
      </c>
      <c r="B32" s="14" t="inlineStr">
        <is>
          <t>Confirm that customer data is encrypted in transit, and state the minimum TLS version enforced on external endpoints.</t>
        </is>
      </c>
      <c r="C32" s="17" t="inlineStr">
        <is>
          <t>Must</t>
        </is>
      </c>
      <c r="D32" s="17" t="n">
        <v>5</v>
      </c>
      <c r="E32" s="15" t="n"/>
      <c r="F32" s="15" t="n"/>
      <c r="G32" s="15" t="n"/>
      <c r="H32" s="15" t="n"/>
      <c r="I32" s="18">
        <f>IFERROR(D32*INDEX('Scoring Summary'!$C$6:$C$11,MATCH(E32,'Scoring Summary'!$B$6:$B$11,0)),"")</f>
        <v/>
      </c>
    </row>
    <row r="33" ht="30" customHeight="1">
      <c r="A33" s="13" t="inlineStr">
        <is>
          <t>4.3.3</t>
        </is>
      </c>
      <c r="B33" s="14" t="inlineStr">
        <is>
          <t>Describe encryption key management, including whether keys are unique per tenant and who holds custody.</t>
        </is>
      </c>
      <c r="C33" s="17" t="inlineStr">
        <is>
          <t>Must</t>
        </is>
      </c>
      <c r="D33" s="17" t="n">
        <v>5</v>
      </c>
      <c r="E33" s="15" t="n"/>
      <c r="F33" s="15" t="n"/>
      <c r="G33" s="15" t="n"/>
      <c r="H33" s="15" t="n"/>
      <c r="I33" s="18">
        <f>IFERROR(D33*INDEX('Scoring Summary'!$C$6:$C$11,MATCH(E33,'Scoring Summary'!$B$6:$B$11,0)),"")</f>
        <v/>
      </c>
    </row>
    <row r="34" ht="30" customHeight="1">
      <c r="A34" s="13" t="inlineStr">
        <is>
          <t>4.3.4</t>
        </is>
      </c>
      <c r="B34" s="14" t="inlineStr">
        <is>
          <t>Confirm whether customer-managed encryption keys are supported.</t>
        </is>
      </c>
      <c r="C34" s="17" t="inlineStr">
        <is>
          <t>Should</t>
        </is>
      </c>
      <c r="D34" s="17" t="n">
        <v>4</v>
      </c>
      <c r="E34" s="15" t="n"/>
      <c r="F34" s="15" t="n"/>
      <c r="G34" s="15" t="n"/>
      <c r="H34" s="15" t="n"/>
      <c r="I34" s="18">
        <f>IFERROR(D34*INDEX('Scoring Summary'!$C$6:$C$11,MATCH(E34,'Scoring Summary'!$B$6:$B$11,0)),"")</f>
        <v/>
      </c>
    </row>
    <row r="35" ht="30" customHeight="1">
      <c r="A35" s="13" t="inlineStr">
        <is>
          <t>4.3.5</t>
        </is>
      </c>
      <c r="B35" s="14" t="inlineStr">
        <is>
          <t>Describe data masking or tokenisation available for sensitive profile attributes.</t>
        </is>
      </c>
      <c r="C35" s="17" t="inlineStr">
        <is>
          <t>Should</t>
        </is>
      </c>
      <c r="D35" s="17" t="n">
        <v>3</v>
      </c>
      <c r="E35" s="15" t="n"/>
      <c r="F35" s="15" t="n"/>
      <c r="G35" s="15" t="n"/>
      <c r="H35" s="15" t="n"/>
      <c r="I35" s="18">
        <f>IFERROR(D35*INDEX('Scoring Summary'!$C$6:$C$11,MATCH(E35,'Scoring Summary'!$B$6:$B$11,0)),"")</f>
        <v/>
      </c>
    </row>
    <row r="36" ht="30" customHeight="1">
      <c r="A36" s="13" t="inlineStr">
        <is>
          <t>4.3.6</t>
        </is>
      </c>
      <c r="B36" s="14" t="inlineStr">
        <is>
          <t>Describe controls preventing production customer data from being copied into non-production environments.</t>
        </is>
      </c>
      <c r="C36" s="17" t="inlineStr">
        <is>
          <t>Must</t>
        </is>
      </c>
      <c r="D36" s="17" t="n">
        <v>4</v>
      </c>
      <c r="E36" s="15" t="n"/>
      <c r="F36" s="15" t="n"/>
      <c r="G36" s="15" t="n"/>
      <c r="H36" s="15" t="n"/>
      <c r="I36" s="18">
        <f>IFERROR(D36*INDEX('Scoring Summary'!$C$6:$C$11,MATCH(E36,'Scoring Summary'!$B$6:$B$11,0)),"")</f>
        <v/>
      </c>
    </row>
    <row r="37" ht="30" customHeight="1">
      <c r="A37" s="13" t="inlineStr">
        <is>
          <t>4.3.7</t>
        </is>
      </c>
      <c r="B37" s="14" t="inlineStr">
        <is>
          <t>Confirm whether production data is used in testing, and if so under what controls.</t>
        </is>
      </c>
      <c r="C37" s="17" t="inlineStr">
        <is>
          <t>Must</t>
        </is>
      </c>
      <c r="D37" s="17" t="n">
        <v>4</v>
      </c>
      <c r="E37" s="15" t="n"/>
      <c r="F37" s="15" t="n"/>
      <c r="G37" s="15" t="n"/>
      <c r="H37" s="15" t="n"/>
      <c r="I37" s="18">
        <f>IFERROR(D37*INDEX('Scoring Summary'!$C$6:$C$11,MATCH(E37,'Scoring Summary'!$B$6:$B$11,0)),"")</f>
        <v/>
      </c>
    </row>
    <row r="38" ht="30" customHeight="1">
      <c r="A38" s="13" t="inlineStr">
        <is>
          <t>4.3.8</t>
        </is>
      </c>
      <c r="B38" s="14" t="inlineStr">
        <is>
          <t>Describe secure media disposal procedures for decommissioned storage hardware.</t>
        </is>
      </c>
      <c r="C38" s="17" t="inlineStr">
        <is>
          <t>Should</t>
        </is>
      </c>
      <c r="D38" s="17" t="n">
        <v>3</v>
      </c>
      <c r="E38" s="15" t="n"/>
      <c r="F38" s="15" t="n"/>
      <c r="G38" s="15" t="n"/>
      <c r="H38" s="15" t="n"/>
      <c r="I38" s="18">
        <f>IFERROR(D38*INDEX('Scoring Summary'!$C$6:$C$11,MATCH(E38,'Scoring Summary'!$B$6:$B$11,0)),"")</f>
        <v/>
      </c>
    </row>
    <row r="39" ht="30" customHeight="1">
      <c r="A39" s="13" t="inlineStr">
        <is>
          <t>4.3.9</t>
        </is>
      </c>
      <c r="B39" s="14" t="inlineStr">
        <is>
          <t>Confirm that all storage tiers, including backups and archives, are encrypted at rest.</t>
        </is>
      </c>
      <c r="C39" s="17" t="inlineStr">
        <is>
          <t>Must</t>
        </is>
      </c>
      <c r="D39" s="17" t="n">
        <v>4</v>
      </c>
      <c r="E39" s="15" t="n"/>
      <c r="F39" s="15" t="n"/>
      <c r="G39" s="15" t="n"/>
      <c r="H39" s="15" t="n"/>
      <c r="I39" s="18">
        <f>IFERROR(D39*INDEX('Scoring Summary'!$C$6:$C$11,MATCH(E39,'Scoring Summary'!$B$6:$B$11,0)),"")</f>
        <v/>
      </c>
    </row>
    <row r="40">
      <c r="A40" s="11" t="inlineStr">
        <is>
          <t>4.4  Application Security</t>
        </is>
      </c>
      <c r="B40" s="12" t="n"/>
      <c r="C40" s="12" t="n"/>
      <c r="D40" s="12" t="n"/>
      <c r="E40" s="12" t="n"/>
      <c r="F40" s="12" t="n"/>
      <c r="G40" s="12" t="n"/>
      <c r="H40" s="12" t="n"/>
      <c r="I40" s="12" t="n"/>
    </row>
    <row r="41" ht="30" customHeight="1">
      <c r="A41" s="13" t="inlineStr">
        <is>
          <t>4.4.1</t>
        </is>
      </c>
      <c r="B41" s="14" t="inlineStr">
        <is>
          <t>Describe your secure software development lifecycle, including security review gates prior to release.</t>
        </is>
      </c>
      <c r="C41" s="17" t="inlineStr">
        <is>
          <t>Must</t>
        </is>
      </c>
      <c r="D41" s="17" t="n">
        <v>4</v>
      </c>
      <c r="E41" s="15" t="n"/>
      <c r="F41" s="15" t="n"/>
      <c r="G41" s="15" t="n"/>
      <c r="H41" s="15" t="n"/>
      <c r="I41" s="18">
        <f>IFERROR(D41*INDEX('Scoring Summary'!$C$6:$C$11,MATCH(E41,'Scoring Summary'!$B$6:$B$11,0)),"")</f>
        <v/>
      </c>
    </row>
    <row r="42" ht="30" customHeight="1">
      <c r="A42" s="13" t="inlineStr">
        <is>
          <t>4.4.2</t>
        </is>
      </c>
      <c r="B42" s="14" t="inlineStr">
        <is>
          <t>Describe your penetration testing programme, including cadence, whether testing is performed by an independent third party, and the availability of results.</t>
        </is>
      </c>
      <c r="C42" s="17" t="inlineStr">
        <is>
          <t>Must</t>
        </is>
      </c>
      <c r="D42" s="17" t="n">
        <v>5</v>
      </c>
      <c r="E42" s="15" t="n"/>
      <c r="F42" s="15" t="n"/>
      <c r="G42" s="15" t="n"/>
      <c r="H42" s="15" t="n"/>
      <c r="I42" s="18">
        <f>IFERROR(D42*INDEX('Scoring Summary'!$C$6:$C$11,MATCH(E42,'Scoring Summary'!$B$6:$B$11,0)),"")</f>
        <v/>
      </c>
    </row>
    <row r="43" ht="30" customHeight="1">
      <c r="A43" s="13" t="inlineStr">
        <is>
          <t>4.4.3</t>
        </is>
      </c>
      <c r="B43" s="14" t="inlineStr">
        <is>
          <t>State the date of your most recent third-party penetration test and confirm whether an executive summary can be shared.</t>
        </is>
      </c>
      <c r="C43" s="17" t="inlineStr">
        <is>
          <t>Must</t>
        </is>
      </c>
      <c r="D43" s="17" t="n">
        <v>4</v>
      </c>
      <c r="E43" s="15" t="n"/>
      <c r="F43" s="15" t="n"/>
      <c r="G43" s="15" t="n"/>
      <c r="H43" s="15" t="n"/>
      <c r="I43" s="18">
        <f>IFERROR(D43*INDEX('Scoring Summary'!$C$6:$C$11,MATCH(E43,'Scoring Summary'!$B$6:$B$11,0)),"")</f>
        <v/>
      </c>
    </row>
    <row r="44" ht="30" customHeight="1">
      <c r="A44" s="13" t="inlineStr">
        <is>
          <t>4.4.4</t>
        </is>
      </c>
      <c r="B44" s="14" t="inlineStr">
        <is>
          <t>Describe static and dynamic application security testing performed in your build pipeline.</t>
        </is>
      </c>
      <c r="C44" s="17" t="inlineStr">
        <is>
          <t>Should</t>
        </is>
      </c>
      <c r="D44" s="17" t="n">
        <v>4</v>
      </c>
      <c r="E44" s="15" t="n"/>
      <c r="F44" s="15" t="n"/>
      <c r="G44" s="15" t="n"/>
      <c r="H44" s="15" t="n"/>
      <c r="I44" s="18">
        <f>IFERROR(D44*INDEX('Scoring Summary'!$C$6:$C$11,MATCH(E44,'Scoring Summary'!$B$6:$B$11,0)),"")</f>
        <v/>
      </c>
    </row>
    <row r="45" ht="30" customHeight="1">
      <c r="A45" s="13" t="inlineStr">
        <is>
          <t>4.4.5</t>
        </is>
      </c>
      <c r="B45" s="14" t="inlineStr">
        <is>
          <t>Describe dependency and container vulnerability scanning, including remediation service levels by severity.</t>
        </is>
      </c>
      <c r="C45" s="17" t="inlineStr">
        <is>
          <t>Must</t>
        </is>
      </c>
      <c r="D45" s="17" t="n">
        <v>4</v>
      </c>
      <c r="E45" s="15" t="n"/>
      <c r="F45" s="15" t="n"/>
      <c r="G45" s="15" t="n"/>
      <c r="H45" s="15" t="n"/>
      <c r="I45" s="18">
        <f>IFERROR(D45*INDEX('Scoring Summary'!$C$6:$C$11,MATCH(E45,'Scoring Summary'!$B$6:$B$11,0)),"")</f>
        <v/>
      </c>
    </row>
    <row r="46" ht="30" customHeight="1">
      <c r="A46" s="13" t="inlineStr">
        <is>
          <t>4.4.6</t>
        </is>
      </c>
      <c r="B46" s="14" t="inlineStr">
        <is>
          <t>Confirm whether you operate a vulnerability disclosure programme or bug bounty, and name the platform used.</t>
        </is>
      </c>
      <c r="C46" s="17" t="inlineStr">
        <is>
          <t>Should</t>
        </is>
      </c>
      <c r="D46" s="17" t="n">
        <v>3</v>
      </c>
      <c r="E46" s="15" t="n"/>
      <c r="F46" s="15" t="n"/>
      <c r="G46" s="15" t="n"/>
      <c r="H46" s="15" t="n"/>
      <c r="I46" s="18">
        <f>IFERROR(D46*INDEX('Scoring Summary'!$C$6:$C$11,MATCH(E46,'Scoring Summary'!$B$6:$B$11,0)),"")</f>
        <v/>
      </c>
    </row>
    <row r="47" ht="30" customHeight="1">
      <c r="A47" s="13" t="inlineStr">
        <is>
          <t>4.4.7</t>
        </is>
      </c>
      <c r="B47" s="14" t="inlineStr">
        <is>
          <t>Describe your process for notifying customers of a critical vulnerability affecting the platform.</t>
        </is>
      </c>
      <c r="C47" s="17" t="inlineStr">
        <is>
          <t>Must</t>
        </is>
      </c>
      <c r="D47" s="17" t="n">
        <v>4</v>
      </c>
      <c r="E47" s="15" t="n"/>
      <c r="F47" s="15" t="n"/>
      <c r="G47" s="15" t="n"/>
      <c r="H47" s="15" t="n"/>
      <c r="I47" s="18">
        <f>IFERROR(D47*INDEX('Scoring Summary'!$C$6:$C$11,MATCH(E47,'Scoring Summary'!$B$6:$B$11,0)),"")</f>
        <v/>
      </c>
    </row>
    <row r="48" ht="30" customHeight="1">
      <c r="A48" s="13" t="inlineStr">
        <is>
          <t>4.4.8</t>
        </is>
      </c>
      <c r="B48" s="14" t="inlineStr">
        <is>
          <t>Describe controls against common web application vulnerabilities, with reference to a recognised framework.</t>
        </is>
      </c>
      <c r="C48" s="17" t="inlineStr">
        <is>
          <t>Should</t>
        </is>
      </c>
      <c r="D48" s="17" t="n">
        <v>3</v>
      </c>
      <c r="E48" s="15" t="n"/>
      <c r="F48" s="15" t="n"/>
      <c r="G48" s="15" t="n"/>
      <c r="H48" s="15" t="n"/>
      <c r="I48" s="18">
        <f>IFERROR(D48*INDEX('Scoring Summary'!$C$6:$C$11,MATCH(E48,'Scoring Summary'!$B$6:$B$11,0)),"")</f>
        <v/>
      </c>
    </row>
    <row r="49">
      <c r="A49" s="11" t="inlineStr">
        <is>
          <t>4.5  Infrastructure and Network Security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</row>
    <row r="50" ht="30" customHeight="1">
      <c r="A50" s="13" t="inlineStr">
        <is>
          <t>4.5.1</t>
        </is>
      </c>
      <c r="B50" s="14" t="inlineStr">
        <is>
          <t>Describe network segmentation between the platform's public-facing tier and its data tier.</t>
        </is>
      </c>
      <c r="C50" s="17" t="inlineStr">
        <is>
          <t>Must</t>
        </is>
      </c>
      <c r="D50" s="17" t="n">
        <v>4</v>
      </c>
      <c r="E50" s="15" t="n"/>
      <c r="F50" s="15" t="n"/>
      <c r="G50" s="15" t="n"/>
      <c r="H50" s="15" t="n"/>
      <c r="I50" s="18">
        <f>IFERROR(D50*INDEX('Scoring Summary'!$C$6:$C$11,MATCH(E50,'Scoring Summary'!$B$6:$B$11,0)),"")</f>
        <v/>
      </c>
    </row>
    <row r="51" ht="30" customHeight="1">
      <c r="A51" s="13" t="inlineStr">
        <is>
          <t>4.5.2</t>
        </is>
      </c>
      <c r="B51" s="14" t="inlineStr">
        <is>
          <t>Describe intrusion detection and prevention controls in the production environment.</t>
        </is>
      </c>
      <c r="C51" s="17" t="inlineStr">
        <is>
          <t>Must</t>
        </is>
      </c>
      <c r="D51" s="17" t="n">
        <v>4</v>
      </c>
      <c r="E51" s="15" t="n"/>
      <c r="F51" s="15" t="n"/>
      <c r="G51" s="15" t="n"/>
      <c r="H51" s="15" t="n"/>
      <c r="I51" s="18">
        <f>IFERROR(D51*INDEX('Scoring Summary'!$C$6:$C$11,MATCH(E51,'Scoring Summary'!$B$6:$B$11,0)),"")</f>
        <v/>
      </c>
    </row>
    <row r="52" ht="30" customHeight="1">
      <c r="A52" s="13" t="inlineStr">
        <is>
          <t>4.5.3</t>
        </is>
      </c>
      <c r="B52" s="14" t="inlineStr">
        <is>
          <t>Describe denial of service mitigation for public-facing endpoints.</t>
        </is>
      </c>
      <c r="C52" s="17" t="inlineStr">
        <is>
          <t>Should</t>
        </is>
      </c>
      <c r="D52" s="17" t="n">
        <v>3</v>
      </c>
      <c r="E52" s="15" t="n"/>
      <c r="F52" s="15" t="n"/>
      <c r="G52" s="15" t="n"/>
      <c r="H52" s="15" t="n"/>
      <c r="I52" s="18">
        <f>IFERROR(D52*INDEX('Scoring Summary'!$C$6:$C$11,MATCH(E52,'Scoring Summary'!$B$6:$B$11,0)),"")</f>
        <v/>
      </c>
    </row>
    <row r="53" ht="30" customHeight="1">
      <c r="A53" s="13" t="inlineStr">
        <is>
          <t>4.5.4</t>
        </is>
      </c>
      <c r="B53" s="14" t="inlineStr">
        <is>
          <t>Confirm whether IP allow-listing is supported for administrative console access.</t>
        </is>
      </c>
      <c r="C53" s="17" t="inlineStr">
        <is>
          <t>Should</t>
        </is>
      </c>
      <c r="D53" s="17" t="n">
        <v>3</v>
      </c>
      <c r="E53" s="15" t="n"/>
      <c r="F53" s="15" t="n"/>
      <c r="G53" s="15" t="n"/>
      <c r="H53" s="15" t="n"/>
      <c r="I53" s="18">
        <f>IFERROR(D53*INDEX('Scoring Summary'!$C$6:$C$11,MATCH(E53,'Scoring Summary'!$B$6:$B$11,0)),"")</f>
        <v/>
      </c>
    </row>
    <row r="54" ht="30" customHeight="1">
      <c r="A54" s="13" t="inlineStr">
        <is>
          <t>4.5.5</t>
        </is>
      </c>
      <c r="B54" s="14" t="inlineStr">
        <is>
          <t>Describe physical security controls at facilities hosting customer data, or name the cloud provider whose controls apply.</t>
        </is>
      </c>
      <c r="C54" s="17" t="inlineStr">
        <is>
          <t>Must</t>
        </is>
      </c>
      <c r="D54" s="17" t="n">
        <v>4</v>
      </c>
      <c r="E54" s="15" t="n"/>
      <c r="F54" s="15" t="n"/>
      <c r="G54" s="15" t="n"/>
      <c r="H54" s="15" t="n"/>
      <c r="I54" s="18">
        <f>IFERROR(D54*INDEX('Scoring Summary'!$C$6:$C$11,MATCH(E54,'Scoring Summary'!$B$6:$B$11,0)),"")</f>
        <v/>
      </c>
    </row>
    <row r="55" ht="30" customHeight="1">
      <c r="A55" s="13" t="inlineStr">
        <is>
          <t>4.5.6</t>
        </is>
      </c>
      <c r="B55" s="14" t="inlineStr">
        <is>
          <t>Describe endpoint protection deployed on employee workstations with access to production systems.</t>
        </is>
      </c>
      <c r="C55" s="17" t="inlineStr">
        <is>
          <t>Should</t>
        </is>
      </c>
      <c r="D55" s="17" t="n">
        <v>3</v>
      </c>
      <c r="E55" s="15" t="n"/>
      <c r="F55" s="15" t="n"/>
      <c r="G55" s="15" t="n"/>
      <c r="H55" s="15" t="n"/>
      <c r="I55" s="18">
        <f>IFERROR(D55*INDEX('Scoring Summary'!$C$6:$C$11,MATCH(E55,'Scoring Summary'!$B$6:$B$11,0)),"")</f>
        <v/>
      </c>
    </row>
    <row r="56" ht="30" customHeight="1">
      <c r="A56" s="13" t="inlineStr">
        <is>
          <t>4.5.7</t>
        </is>
      </c>
      <c r="B56" s="14" t="inlineStr">
        <is>
          <t>Describe hardening standards applied to production servers and container images.</t>
        </is>
      </c>
      <c r="C56" s="17" t="inlineStr">
        <is>
          <t>Should</t>
        </is>
      </c>
      <c r="D56" s="17" t="n">
        <v>3</v>
      </c>
      <c r="E56" s="15" t="n"/>
      <c r="F56" s="15" t="n"/>
      <c r="G56" s="15" t="n"/>
      <c r="H56" s="15" t="n"/>
      <c r="I56" s="18">
        <f>IFERROR(D56*INDEX('Scoring Summary'!$C$6:$C$11,MATCH(E56,'Scoring Summary'!$B$6:$B$11,0)),"")</f>
        <v/>
      </c>
    </row>
    <row r="57">
      <c r="A57" s="11" t="inlineStr">
        <is>
          <t>4.6  Incident Response</t>
        </is>
      </c>
      <c r="B57" s="12" t="n"/>
      <c r="C57" s="12" t="n"/>
      <c r="D57" s="12" t="n"/>
      <c r="E57" s="12" t="n"/>
      <c r="F57" s="12" t="n"/>
      <c r="G57" s="12" t="n"/>
      <c r="H57" s="12" t="n"/>
      <c r="I57" s="12" t="n"/>
    </row>
    <row r="58" ht="30" customHeight="1">
      <c r="A58" s="13" t="inlineStr">
        <is>
          <t>4.6.1</t>
        </is>
      </c>
      <c r="B58" s="14" t="inlineStr">
        <is>
          <t>Confirm that you maintain a documented incident response plan and state how frequently it is tested.</t>
        </is>
      </c>
      <c r="C58" s="17" t="inlineStr">
        <is>
          <t>Must</t>
        </is>
      </c>
      <c r="D58" s="17" t="n">
        <v>5</v>
      </c>
      <c r="E58" s="15" t="n"/>
      <c r="F58" s="15" t="n"/>
      <c r="G58" s="15" t="n"/>
      <c r="H58" s="15" t="n"/>
      <c r="I58" s="18">
        <f>IFERROR(D58*INDEX('Scoring Summary'!$C$6:$C$11,MATCH(E58,'Scoring Summary'!$B$6:$B$11,0)),"")</f>
        <v/>
      </c>
    </row>
    <row r="59" ht="30" customHeight="1">
      <c r="A59" s="13" t="inlineStr">
        <is>
          <t>4.6.2</t>
        </is>
      </c>
      <c r="B59" s="14" t="inlineStr">
        <is>
          <t>State the contractual notification period following confirmation of a security incident affecting customer data.</t>
        </is>
      </c>
      <c r="C59" s="17" t="inlineStr">
        <is>
          <t>Must</t>
        </is>
      </c>
      <c r="D59" s="17" t="n">
        <v>5</v>
      </c>
      <c r="E59" s="15" t="n"/>
      <c r="F59" s="15" t="n"/>
      <c r="G59" s="15" t="n"/>
      <c r="H59" s="15" t="n"/>
      <c r="I59" s="18">
        <f>IFERROR(D59*INDEX('Scoring Summary'!$C$6:$C$11,MATCH(E59,'Scoring Summary'!$B$6:$B$11,0)),"")</f>
        <v/>
      </c>
    </row>
    <row r="60" ht="30" customHeight="1">
      <c r="A60" s="13" t="inlineStr">
        <is>
          <t>4.6.3</t>
        </is>
      </c>
      <c r="B60" s="14" t="inlineStr">
        <is>
          <t>Describe the information provided to affected customers during an active incident, and the cadence of updates.</t>
        </is>
      </c>
      <c r="C60" s="17" t="inlineStr">
        <is>
          <t>Must</t>
        </is>
      </c>
      <c r="D60" s="17" t="n">
        <v>4</v>
      </c>
      <c r="E60" s="15" t="n"/>
      <c r="F60" s="15" t="n"/>
      <c r="G60" s="15" t="n"/>
      <c r="H60" s="15" t="n"/>
      <c r="I60" s="18">
        <f>IFERROR(D60*INDEX('Scoring Summary'!$C$6:$C$11,MATCH(E60,'Scoring Summary'!$B$6:$B$11,0)),"")</f>
        <v/>
      </c>
    </row>
    <row r="61" ht="30" customHeight="1">
      <c r="A61" s="13" t="inlineStr">
        <is>
          <t>4.6.4</t>
        </is>
      </c>
      <c r="B61" s="14" t="inlineStr">
        <is>
          <t>Confirm whether customers receive a written post-incident report including root cause and corrective actions.</t>
        </is>
      </c>
      <c r="C61" s="17" t="inlineStr">
        <is>
          <t>Must</t>
        </is>
      </c>
      <c r="D61" s="17" t="n">
        <v>4</v>
      </c>
      <c r="E61" s="15" t="n"/>
      <c r="F61" s="15" t="n"/>
      <c r="G61" s="15" t="n"/>
      <c r="H61" s="15" t="n"/>
      <c r="I61" s="18">
        <f>IFERROR(D61*INDEX('Scoring Summary'!$C$6:$C$11,MATCH(E61,'Scoring Summary'!$B$6:$B$11,0)),"")</f>
        <v/>
      </c>
    </row>
    <row r="62" ht="30" customHeight="1">
      <c r="A62" s="13" t="inlineStr">
        <is>
          <t>4.6.5</t>
        </is>
      </c>
      <c r="B62" s="14" t="inlineStr">
        <is>
          <t>Disclose any security incident affecting customer data in the last 36 months, including its resolution.</t>
        </is>
      </c>
      <c r="C62" s="17" t="inlineStr">
        <is>
          <t>Must</t>
        </is>
      </c>
      <c r="D62" s="17" t="n">
        <v>5</v>
      </c>
      <c r="E62" s="15" t="n"/>
      <c r="F62" s="15" t="n"/>
      <c r="G62" s="15" t="n"/>
      <c r="H62" s="15" t="n"/>
      <c r="I62" s="18">
        <f>IFERROR(D62*INDEX('Scoring Summary'!$C$6:$C$11,MATCH(E62,'Scoring Summary'!$B$6:$B$11,0)),"")</f>
        <v/>
      </c>
    </row>
    <row r="63" ht="30" customHeight="1">
      <c r="A63" s="13" t="inlineStr">
        <is>
          <t>4.6.6</t>
        </is>
      </c>
      <c r="B63" s="14" t="inlineStr">
        <is>
          <t>Describe forensic support available to a customer following an incident.</t>
        </is>
      </c>
      <c r="C63" s="17" t="inlineStr">
        <is>
          <t>Should</t>
        </is>
      </c>
      <c r="D63" s="17" t="n">
        <v>3</v>
      </c>
      <c r="E63" s="15" t="n"/>
      <c r="F63" s="15" t="n"/>
      <c r="G63" s="15" t="n"/>
      <c r="H63" s="15" t="n"/>
      <c r="I63" s="18">
        <f>IFERROR(D63*INDEX('Scoring Summary'!$C$6:$C$11,MATCH(E63,'Scoring Summary'!$B$6:$B$11,0)),"")</f>
        <v/>
      </c>
    </row>
    <row r="64">
      <c r="A64" s="11" t="inlineStr">
        <is>
          <t>4.7  Business Continuity and Disaster Recovery</t>
        </is>
      </c>
      <c r="B64" s="12" t="n"/>
      <c r="C64" s="12" t="n"/>
      <c r="D64" s="12" t="n"/>
      <c r="E64" s="12" t="n"/>
      <c r="F64" s="12" t="n"/>
      <c r="G64" s="12" t="n"/>
      <c r="H64" s="12" t="n"/>
      <c r="I64" s="12" t="n"/>
    </row>
    <row r="65" ht="30" customHeight="1">
      <c r="A65" s="13" t="inlineStr">
        <is>
          <t>4.7.1</t>
        </is>
      </c>
      <c r="B65" s="14" t="inlineStr">
        <is>
          <t>State your Recovery Point Objective for the production environment.</t>
        </is>
      </c>
      <c r="C65" s="17" t="inlineStr">
        <is>
          <t>Must</t>
        </is>
      </c>
      <c r="D65" s="17" t="n">
        <v>5</v>
      </c>
      <c r="E65" s="15" t="n"/>
      <c r="F65" s="15" t="n"/>
      <c r="G65" s="15" t="n"/>
      <c r="H65" s="15" t="n"/>
      <c r="I65" s="18">
        <f>IFERROR(D65*INDEX('Scoring Summary'!$C$6:$C$11,MATCH(E65,'Scoring Summary'!$B$6:$B$11,0)),"")</f>
        <v/>
      </c>
    </row>
    <row r="66" ht="30" customHeight="1">
      <c r="A66" s="13" t="inlineStr">
        <is>
          <t>4.7.2</t>
        </is>
      </c>
      <c r="B66" s="14" t="inlineStr">
        <is>
          <t>State your Recovery Time Objective for the production environment.</t>
        </is>
      </c>
      <c r="C66" s="17" t="inlineStr">
        <is>
          <t>Must</t>
        </is>
      </c>
      <c r="D66" s="17" t="n">
        <v>5</v>
      </c>
      <c r="E66" s="15" t="n"/>
      <c r="F66" s="15" t="n"/>
      <c r="G66" s="15" t="n"/>
      <c r="H66" s="15" t="n"/>
      <c r="I66" s="18">
        <f>IFERROR(D66*INDEX('Scoring Summary'!$C$6:$C$11,MATCH(E66,'Scoring Summary'!$B$6:$B$11,0)),"")</f>
        <v/>
      </c>
    </row>
    <row r="67" ht="30" customHeight="1">
      <c r="A67" s="13" t="inlineStr">
        <is>
          <t>4.7.3</t>
        </is>
      </c>
      <c r="B67" s="14" t="inlineStr">
        <is>
          <t>Describe backup frequency and backup retention period.</t>
        </is>
      </c>
      <c r="C67" s="17" t="inlineStr">
        <is>
          <t>Must</t>
        </is>
      </c>
      <c r="D67" s="17" t="n">
        <v>4</v>
      </c>
      <c r="E67" s="15" t="n"/>
      <c r="F67" s="15" t="n"/>
      <c r="G67" s="15" t="n"/>
      <c r="H67" s="15" t="n"/>
      <c r="I67" s="18">
        <f>IFERROR(D67*INDEX('Scoring Summary'!$C$6:$C$11,MATCH(E67,'Scoring Summary'!$B$6:$B$11,0)),"")</f>
        <v/>
      </c>
    </row>
    <row r="68" ht="30" customHeight="1">
      <c r="A68" s="13" t="inlineStr">
        <is>
          <t>4.7.4</t>
        </is>
      </c>
      <c r="B68" s="14" t="inlineStr">
        <is>
          <t>Confirm how frequently backup restoration is tested, and state the date of the most recent successful restoration test.</t>
        </is>
      </c>
      <c r="C68" s="17" t="inlineStr">
        <is>
          <t>Must</t>
        </is>
      </c>
      <c r="D68" s="17" t="n">
        <v>4</v>
      </c>
      <c r="E68" s="15" t="n"/>
      <c r="F68" s="15" t="n"/>
      <c r="G68" s="15" t="n"/>
      <c r="H68" s="15" t="n"/>
      <c r="I68" s="18">
        <f>IFERROR(D68*INDEX('Scoring Summary'!$C$6:$C$11,MATCH(E68,'Scoring Summary'!$B$6:$B$11,0)),"")</f>
        <v/>
      </c>
    </row>
    <row r="69" ht="30" customHeight="1">
      <c r="A69" s="13" t="inlineStr">
        <is>
          <t>4.7.5</t>
        </is>
      </c>
      <c r="B69" s="14" t="inlineStr">
        <is>
          <t>Describe the redundancy model within a hosting region.</t>
        </is>
      </c>
      <c r="C69" s="17" t="inlineStr">
        <is>
          <t>Should</t>
        </is>
      </c>
      <c r="D69" s="17" t="n">
        <v>4</v>
      </c>
      <c r="E69" s="15" t="n"/>
      <c r="F69" s="15" t="n"/>
      <c r="G69" s="15" t="n"/>
      <c r="H69" s="15" t="n"/>
      <c r="I69" s="18">
        <f>IFERROR(D69*INDEX('Scoring Summary'!$C$6:$C$11,MATCH(E69,'Scoring Summary'!$B$6:$B$11,0)),"")</f>
        <v/>
      </c>
    </row>
    <row r="70" ht="30" customHeight="1">
      <c r="A70" s="13" t="inlineStr">
        <is>
          <t>4.7.6</t>
        </is>
      </c>
      <c r="B70" s="14" t="inlineStr">
        <is>
          <t>Confirm whether a business continuity plan is maintained and tested at least annually.</t>
        </is>
      </c>
      <c r="C70" s="17" t="inlineStr">
        <is>
          <t>Must</t>
        </is>
      </c>
      <c r="D70" s="17" t="n">
        <v>4</v>
      </c>
      <c r="E70" s="15" t="n"/>
      <c r="F70" s="15" t="n"/>
      <c r="G70" s="15" t="n"/>
      <c r="H70" s="15" t="n"/>
      <c r="I70" s="18">
        <f>IFERROR(D70*INDEX('Scoring Summary'!$C$6:$C$11,MATCH(E70,'Scoring Summary'!$B$6:$B$11,0)),"")</f>
        <v/>
      </c>
    </row>
    <row r="71">
      <c r="A71" s="11" t="inlineStr">
        <is>
          <t>4.8  Third-Party and Supply Chain Risk</t>
        </is>
      </c>
      <c r="B71" s="12" t="n"/>
      <c r="C71" s="12" t="n"/>
      <c r="D71" s="12" t="n"/>
      <c r="E71" s="12" t="n"/>
      <c r="F71" s="12" t="n"/>
      <c r="G71" s="12" t="n"/>
      <c r="H71" s="12" t="n"/>
      <c r="I71" s="12" t="n"/>
    </row>
    <row r="72" ht="30" customHeight="1">
      <c r="A72" s="13" t="inlineStr">
        <is>
          <t>4.8.1</t>
        </is>
      </c>
      <c r="B72" s="14" t="inlineStr">
        <is>
          <t>Provide a current list of subprocessors with access to customer data, including the purpose of each.</t>
        </is>
      </c>
      <c r="C72" s="17" t="inlineStr">
        <is>
          <t>Must</t>
        </is>
      </c>
      <c r="D72" s="17" t="n">
        <v>5</v>
      </c>
      <c r="E72" s="15" t="n"/>
      <c r="F72" s="15" t="n"/>
      <c r="G72" s="15" t="n"/>
      <c r="H72" s="15" t="n"/>
      <c r="I72" s="18">
        <f>IFERROR(D72*INDEX('Scoring Summary'!$C$6:$C$11,MATCH(E72,'Scoring Summary'!$B$6:$B$11,0)),"")</f>
        <v/>
      </c>
    </row>
    <row r="73" ht="30" customHeight="1">
      <c r="A73" s="13" t="inlineStr">
        <is>
          <t>4.8.2</t>
        </is>
      </c>
      <c r="B73" s="14" t="inlineStr">
        <is>
          <t>State the notice period given to customers before a new subprocessor is engaged, and whether customers may object.</t>
        </is>
      </c>
      <c r="C73" s="17" t="inlineStr">
        <is>
          <t>Must</t>
        </is>
      </c>
      <c r="D73" s="17" t="n">
        <v>4</v>
      </c>
      <c r="E73" s="15" t="n"/>
      <c r="F73" s="15" t="n"/>
      <c r="G73" s="15" t="n"/>
      <c r="H73" s="15" t="n"/>
      <c r="I73" s="18">
        <f>IFERROR(D73*INDEX('Scoring Summary'!$C$6:$C$11,MATCH(E73,'Scoring Summary'!$B$6:$B$11,0)),"")</f>
        <v/>
      </c>
    </row>
    <row r="74" ht="30" customHeight="1">
      <c r="A74" s="13" t="inlineStr">
        <is>
          <t>4.8.3</t>
        </is>
      </c>
      <c r="B74" s="14" t="inlineStr">
        <is>
          <t>Describe security due diligence performed on subprocessors prior to engagement.</t>
        </is>
      </c>
      <c r="C74" s="17" t="inlineStr">
        <is>
          <t>Must</t>
        </is>
      </c>
      <c r="D74" s="17" t="n">
        <v>4</v>
      </c>
      <c r="E74" s="15" t="n"/>
      <c r="F74" s="15" t="n"/>
      <c r="G74" s="15" t="n"/>
      <c r="H74" s="15" t="n"/>
      <c r="I74" s="18">
        <f>IFERROR(D74*INDEX('Scoring Summary'!$C$6:$C$11,MATCH(E74,'Scoring Summary'!$B$6:$B$11,0)),"")</f>
        <v/>
      </c>
    </row>
    <row r="75" ht="30" customHeight="1">
      <c r="A75" s="13" t="inlineStr">
        <is>
          <t>4.8.4</t>
        </is>
      </c>
      <c r="B75" s="14" t="inlineStr">
        <is>
          <t>Confirm whether you carry cyber liability insurance, and state the coverage limit.</t>
        </is>
      </c>
      <c r="C75" s="17" t="inlineStr">
        <is>
          <t>Must</t>
        </is>
      </c>
      <c r="D75" s="17" t="n">
        <v>4</v>
      </c>
      <c r="E75" s="15" t="n"/>
      <c r="F75" s="15" t="n"/>
      <c r="G75" s="15" t="n"/>
      <c r="H75" s="15" t="n"/>
      <c r="I75" s="18">
        <f>IFERROR(D75*INDEX('Scoring Summary'!$C$6:$C$11,MATCH(E75,'Scoring Summary'!$B$6:$B$11,0)),"")</f>
        <v/>
      </c>
    </row>
    <row r="76" ht="30" customHeight="1">
      <c r="A76" s="13" t="inlineStr">
        <is>
          <t>4.8.5</t>
        </is>
      </c>
      <c r="B76" s="14" t="inlineStr">
        <is>
          <t>Describe controls governing use of generative AI tooling by your engineering staff on customer data or customer-derived code.</t>
        </is>
      </c>
      <c r="C76" s="17" t="inlineStr">
        <is>
          <t>Should</t>
        </is>
      </c>
      <c r="D76" s="17" t="n">
        <v>3</v>
      </c>
      <c r="E76" s="15" t="n"/>
      <c r="F76" s="15" t="n"/>
      <c r="G76" s="15" t="n"/>
      <c r="H76" s="15" t="n"/>
      <c r="I76" s="18">
        <f>IFERROR(D76*INDEX('Scoring Summary'!$C$6:$C$11,MATCH(E76,'Scoring Summary'!$B$6:$B$11,0)),"")</f>
        <v/>
      </c>
    </row>
  </sheetData>
  <autoFilter ref="A8:I76"/>
  <mergeCells count="10">
    <mergeCell ref="A64:I64"/>
    <mergeCell ref="A57:I57"/>
    <mergeCell ref="A71:I71"/>
    <mergeCell ref="A49:I49"/>
    <mergeCell ref="A10:I10"/>
    <mergeCell ref="A1:I1"/>
    <mergeCell ref="A40:I40"/>
    <mergeCell ref="A18:I18"/>
    <mergeCell ref="A6:I6"/>
    <mergeCell ref="A30:I30"/>
  </mergeCells>
  <dataValidations count="1">
    <dataValidation sqref="E11:E76" showDropDown="0" showInputMessage="0" showErrorMessage="0" allowBlank="1" errorTitle="Invalid compliance level" error="Select one of the six defined compliance levels. See the Instructions tab." type="list">
      <formula1>"Standard,Configuration,Customization,Third-Party,Roadmap,Not Supported"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4" customWidth="1" min="2" max="2"/>
    <col width="10" customWidth="1" min="3" max="3"/>
    <col width="9" customWidth="1" min="4" max="4"/>
    <col width="18" customWidth="1" min="5" max="5"/>
    <col width="46" customWidth="1" min="6" max="6"/>
    <col width="26" customWidth="1" min="7" max="7"/>
    <col width="16" customWidth="1" min="8" max="8"/>
    <col width="10" customWidth="1" min="9" max="9"/>
  </cols>
  <sheetData>
    <row r="1">
      <c r="A1" s="8" t="inlineStr">
        <is>
          <t>Section 5 - Privacy and Regulatory Compliance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6" ht="30" customHeight="1">
      <c r="A6" s="5" t="inlineStr">
        <is>
          <t>Alderwood operates a loyalty programme covering 2.1 million members and captures transaction data from 22 in-store pharmacy counters. Responses in this section will be reviewed by Alderwood's legal and compliance functions.</t>
        </is>
      </c>
    </row>
    <row r="8">
      <c r="A8" s="9" t="inlineStr">
        <is>
          <t>Req ID</t>
        </is>
      </c>
      <c r="B8" s="9" t="inlineStr">
        <is>
          <t>Requirement</t>
        </is>
      </c>
      <c r="C8" s="9" t="inlineStr">
        <is>
          <t>Priority</t>
        </is>
      </c>
      <c r="D8" s="9" t="inlineStr">
        <is>
          <t>Weight</t>
        </is>
      </c>
      <c r="E8" s="9" t="inlineStr">
        <is>
          <t>Compliance Level</t>
        </is>
      </c>
      <c r="F8" s="9" t="inlineStr">
        <is>
          <t>Vendor Comments</t>
        </is>
      </c>
      <c r="G8" s="9" t="inlineStr">
        <is>
          <t>Supporting Doc Reference</t>
        </is>
      </c>
      <c r="H8" s="9" t="inlineStr">
        <is>
          <t>Cost Impact (USD)</t>
        </is>
      </c>
      <c r="I8" s="9" t="inlineStr">
        <is>
          <t>Score</t>
        </is>
      </c>
    </row>
    <row r="9" ht="28" customHeight="1">
      <c r="A9" s="10" t="inlineStr">
        <is>
          <t>EXAMPLE</t>
        </is>
      </c>
      <c r="B9" s="10" t="inlineStr">
        <is>
          <t>(Example row illustrating the expected response format. Do not submit a response against this row.)</t>
        </is>
      </c>
      <c r="C9" s="10" t="inlineStr">
        <is>
          <t>Must</t>
        </is>
      </c>
      <c r="D9" s="10" t="n">
        <v>5</v>
      </c>
      <c r="E9" s="10" t="inlineStr">
        <is>
          <t>Configuration</t>
        </is>
      </c>
      <c r="F9" s="10" t="inlineStr">
        <is>
          <t>Supported in the current release. Requires an administrator to enable the feature and map source fields during onboarding.</t>
        </is>
      </c>
      <c r="G9" s="10" t="inlineStr">
        <is>
          <t>Admin Guide s.4.2, p.31</t>
        </is>
      </c>
      <c r="H9" s="10" t="n">
        <v>0</v>
      </c>
      <c r="I9" s="16" t="inlineStr">
        <is>
          <t>(not scored)</t>
        </is>
      </c>
    </row>
    <row r="10">
      <c r="A10" s="11" t="inlineStr">
        <is>
          <t>5.1  Regulatory Compliance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30" customHeight="1">
      <c r="A11" s="13" t="inlineStr">
        <is>
          <t>5.1.1</t>
        </is>
      </c>
      <c r="B11" s="14" t="inlineStr">
        <is>
          <t>Confirm compliance with the California Consumer Privacy Act as amended, including support for consumer access and deletion requests.</t>
        </is>
      </c>
      <c r="C11" s="17" t="inlineStr">
        <is>
          <t>Must</t>
        </is>
      </c>
      <c r="D11" s="17" t="n">
        <v>5</v>
      </c>
      <c r="E11" s="15" t="n"/>
      <c r="F11" s="15" t="n"/>
      <c r="G11" s="15" t="n"/>
      <c r="H11" s="15" t="n"/>
      <c r="I11" s="18">
        <f>IFERROR(D11*INDEX('Scoring Summary'!$C$6:$C$11,MATCH(E11,'Scoring Summary'!$B$6:$B$11,0)),"")</f>
        <v/>
      </c>
    </row>
    <row r="12" ht="30" customHeight="1">
      <c r="A12" s="13" t="inlineStr">
        <is>
          <t>5.1.2</t>
        </is>
      </c>
      <c r="B12" s="14" t="inlineStr">
        <is>
          <t>Confirm compliance with the General Data Protection Regulation and the availability of a Data Processing Agreement.</t>
        </is>
      </c>
      <c r="C12" s="17" t="inlineStr">
        <is>
          <t>Must</t>
        </is>
      </c>
      <c r="D12" s="17" t="n">
        <v>4</v>
      </c>
      <c r="E12" s="15" t="n"/>
      <c r="F12" s="15" t="n"/>
      <c r="G12" s="15" t="n"/>
      <c r="H12" s="15" t="n"/>
      <c r="I12" s="18">
        <f>IFERROR(D12*INDEX('Scoring Summary'!$C$6:$C$11,MATCH(E12,'Scoring Summary'!$B$6:$B$11,0)),"")</f>
        <v/>
      </c>
    </row>
    <row r="13" ht="30" customHeight="1">
      <c r="A13" s="13" t="inlineStr">
        <is>
          <t>5.1.3</t>
        </is>
      </c>
      <c r="B13" s="14" t="inlineStr">
        <is>
          <t>Confirm compliance with applicable Washington State health data legislation as it applies to consumer health data collected outside a clinical setting.</t>
        </is>
      </c>
      <c r="C13" s="17" t="inlineStr">
        <is>
          <t>Must</t>
        </is>
      </c>
      <c r="D13" s="17" t="n">
        <v>5</v>
      </c>
      <c r="E13" s="15" t="n"/>
      <c r="F13" s="15" t="n"/>
      <c r="G13" s="15" t="n"/>
      <c r="H13" s="15" t="n"/>
      <c r="I13" s="18">
        <f>IFERROR(D13*INDEX('Scoring Summary'!$C$6:$C$11,MATCH(E13,'Scoring Summary'!$B$6:$B$11,0)),"")</f>
        <v/>
      </c>
    </row>
    <row r="14" ht="30" customHeight="1">
      <c r="A14" s="13" t="inlineStr">
        <is>
          <t>5.1.4</t>
        </is>
      </c>
      <c r="B14" s="14" t="inlineStr">
        <is>
          <t>Alderwood's loyalty programme captures purchase data originating from 22 in-store pharmacy counters. Confirm whether your platform is HIPAA compliant and whether you will execute a Business Associate Agreement.</t>
        </is>
      </c>
      <c r="C14" s="17" t="inlineStr">
        <is>
          <t>Must</t>
        </is>
      </c>
      <c r="D14" s="17" t="n">
        <v>5</v>
      </c>
      <c r="E14" s="15" t="n"/>
      <c r="F14" s="15" t="n"/>
      <c r="G14" s="15" t="n"/>
      <c r="H14" s="15" t="n"/>
      <c r="I14" s="18">
        <f>IFERROR(D14*INDEX('Scoring Summary'!$C$6:$C$11,MATCH(E14,'Scoring Summary'!$B$6:$B$11,0)),"")</f>
        <v/>
      </c>
    </row>
    <row r="15" ht="30" customHeight="1">
      <c r="A15" s="13" t="inlineStr">
        <is>
          <t>5.1.5</t>
        </is>
      </c>
      <c r="B15" s="14" t="inlineStr">
        <is>
          <t>Describe how the platform supports segregation of health-adjacent purchase data from general loyalty data.</t>
        </is>
      </c>
      <c r="C15" s="17" t="inlineStr">
        <is>
          <t>Must</t>
        </is>
      </c>
      <c r="D15" s="17" t="n">
        <v>4</v>
      </c>
      <c r="E15" s="15" t="n"/>
      <c r="F15" s="15" t="n"/>
      <c r="G15" s="15" t="n"/>
      <c r="H15" s="15" t="n"/>
      <c r="I15" s="18">
        <f>IFERROR(D15*INDEX('Scoring Summary'!$C$6:$C$11,MATCH(E15,'Scoring Summary'!$B$6:$B$11,0)),"")</f>
        <v/>
      </c>
    </row>
    <row r="16" ht="30" customHeight="1">
      <c r="A16" s="13" t="inlineStr">
        <is>
          <t>5.1.6</t>
        </is>
      </c>
      <c r="B16" s="14" t="inlineStr">
        <is>
          <t>Confirm whether you will execute Alderwood's standard Data Processing Addendum, or state your required exceptions.</t>
        </is>
      </c>
      <c r="C16" s="17" t="inlineStr">
        <is>
          <t>Must</t>
        </is>
      </c>
      <c r="D16" s="17" t="n">
        <v>4</v>
      </c>
      <c r="E16" s="15" t="n"/>
      <c r="F16" s="15" t="n"/>
      <c r="G16" s="15" t="n"/>
      <c r="H16" s="15" t="n"/>
      <c r="I16" s="18">
        <f>IFERROR(D16*INDEX('Scoring Summary'!$C$6:$C$11,MATCH(E16,'Scoring Summary'!$B$6:$B$11,0)),"")</f>
        <v/>
      </c>
    </row>
    <row r="17" ht="30" customHeight="1">
      <c r="A17" s="13" t="inlineStr">
        <is>
          <t>5.1.7</t>
        </is>
      </c>
      <c r="B17" s="14" t="inlineStr">
        <is>
          <t>State the default and maximum configurable data retention period, and confirm retention can be set per data category.</t>
        </is>
      </c>
      <c r="C17" s="17" t="inlineStr">
        <is>
          <t>Must</t>
        </is>
      </c>
      <c r="D17" s="17" t="n">
        <v>4</v>
      </c>
      <c r="E17" s="15" t="n"/>
      <c r="F17" s="15" t="n"/>
      <c r="G17" s="15" t="n"/>
      <c r="H17" s="15" t="n"/>
      <c r="I17" s="18">
        <f>IFERROR(D17*INDEX('Scoring Summary'!$C$6:$C$11,MATCH(E17,'Scoring Summary'!$B$6:$B$11,0)),"")</f>
        <v/>
      </c>
    </row>
    <row r="18" ht="30" customHeight="1">
      <c r="A18" s="13" t="inlineStr">
        <is>
          <t>5.1.8</t>
        </is>
      </c>
      <c r="B18" s="14" t="inlineStr">
        <is>
          <t>Describe your policy on using customer data to train machine learning models, including whether customers may opt out.</t>
        </is>
      </c>
      <c r="C18" s="17" t="inlineStr">
        <is>
          <t>Must</t>
        </is>
      </c>
      <c r="D18" s="17" t="n">
        <v>5</v>
      </c>
      <c r="E18" s="15" t="n"/>
      <c r="F18" s="15" t="n"/>
      <c r="G18" s="15" t="n"/>
      <c r="H18" s="15" t="n"/>
      <c r="I18" s="18">
        <f>IFERROR(D18*INDEX('Scoring Summary'!$C$6:$C$11,MATCH(E18,'Scoring Summary'!$B$6:$B$11,0)),"")</f>
        <v/>
      </c>
    </row>
    <row r="19">
      <c r="A19" s="11" t="inlineStr">
        <is>
          <t>5.2  Data Subject Rights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13" t="inlineStr">
        <is>
          <t>5.2.1</t>
        </is>
      </c>
      <c r="B20" s="14" t="inlineStr">
        <is>
          <t>Describe the mechanism by which a consumer access request is fulfilled, including whether it can be initiated via API.</t>
        </is>
      </c>
      <c r="C20" s="17" t="inlineStr">
        <is>
          <t>Must</t>
        </is>
      </c>
      <c r="D20" s="17" t="n">
        <v>5</v>
      </c>
      <c r="E20" s="15" t="n"/>
      <c r="F20" s="15" t="n"/>
      <c r="G20" s="15" t="n"/>
      <c r="H20" s="15" t="n"/>
      <c r="I20" s="18">
        <f>IFERROR(D20*INDEX('Scoring Summary'!$C$6:$C$11,MATCH(E20,'Scoring Summary'!$B$6:$B$11,0)),"")</f>
        <v/>
      </c>
    </row>
    <row r="21" ht="30" customHeight="1">
      <c r="A21" s="13" t="inlineStr">
        <is>
          <t>5.2.2</t>
        </is>
      </c>
      <c r="B21" s="14" t="inlineStr">
        <is>
          <t>Describe the mechanism by which a consumer deletion request is fulfilled across all storage tiers including backups.</t>
        </is>
      </c>
      <c r="C21" s="17" t="inlineStr">
        <is>
          <t>Must</t>
        </is>
      </c>
      <c r="D21" s="17" t="n">
        <v>5</v>
      </c>
      <c r="E21" s="15" t="n"/>
      <c r="F21" s="15" t="n"/>
      <c r="G21" s="15" t="n"/>
      <c r="H21" s="15" t="n"/>
      <c r="I21" s="18">
        <f>IFERROR(D21*INDEX('Scoring Summary'!$C$6:$C$11,MATCH(E21,'Scoring Summary'!$B$6:$B$11,0)),"")</f>
        <v/>
      </c>
    </row>
    <row r="22" ht="30" customHeight="1">
      <c r="A22" s="13" t="inlineStr">
        <is>
          <t>5.2.3</t>
        </is>
      </c>
      <c r="B22" s="14" t="inlineStr">
        <is>
          <t>State the maximum elapsed time between a deletion request and irrecoverable deletion of the record.</t>
        </is>
      </c>
      <c r="C22" s="17" t="inlineStr">
        <is>
          <t>Must</t>
        </is>
      </c>
      <c r="D22" s="17" t="n">
        <v>4</v>
      </c>
      <c r="E22" s="15" t="n"/>
      <c r="F22" s="15" t="n"/>
      <c r="G22" s="15" t="n"/>
      <c r="H22" s="15" t="n"/>
      <c r="I22" s="18">
        <f>IFERROR(D22*INDEX('Scoring Summary'!$C$6:$C$11,MATCH(E22,'Scoring Summary'!$B$6:$B$11,0)),"")</f>
        <v/>
      </c>
    </row>
    <row r="23" ht="30" customHeight="1">
      <c r="A23" s="13" t="inlineStr">
        <is>
          <t>5.2.4</t>
        </is>
      </c>
      <c r="B23" s="14" t="inlineStr">
        <is>
          <t>Describe how a deletion request propagates to downstream destinations to which the profile was previously activated.</t>
        </is>
      </c>
      <c r="C23" s="17" t="inlineStr">
        <is>
          <t>Must</t>
        </is>
      </c>
      <c r="D23" s="17" t="n">
        <v>5</v>
      </c>
      <c r="E23" s="15" t="n"/>
      <c r="F23" s="15" t="n"/>
      <c r="G23" s="15" t="n"/>
      <c r="H23" s="15" t="n"/>
      <c r="I23" s="18">
        <f>IFERROR(D23*INDEX('Scoring Summary'!$C$6:$C$11,MATCH(E23,'Scoring Summary'!$B$6:$B$11,0)),"")</f>
        <v/>
      </c>
    </row>
    <row r="24" ht="30" customHeight="1">
      <c r="A24" s="13" t="inlineStr">
        <is>
          <t>5.2.5</t>
        </is>
      </c>
      <c r="B24" s="14" t="inlineStr">
        <is>
          <t>Describe support for data portability, providing a consumer's data in a machine-readable format.</t>
        </is>
      </c>
      <c r="C24" s="17" t="inlineStr">
        <is>
          <t>Should</t>
        </is>
      </c>
      <c r="D24" s="17" t="n">
        <v>3</v>
      </c>
      <c r="E24" s="15" t="n"/>
      <c r="F24" s="15" t="n"/>
      <c r="G24" s="15" t="n"/>
      <c r="H24" s="15" t="n"/>
      <c r="I24" s="18">
        <f>IFERROR(D24*INDEX('Scoring Summary'!$C$6:$C$11,MATCH(E24,'Scoring Summary'!$B$6:$B$11,0)),"")</f>
        <v/>
      </c>
    </row>
    <row r="25" ht="30" customHeight="1">
      <c r="A25" s="13" t="inlineStr">
        <is>
          <t>5.2.6</t>
        </is>
      </c>
      <c r="B25" s="14" t="inlineStr">
        <is>
          <t>Describe the audit record retained to evidence fulfilment of a data subject request.</t>
        </is>
      </c>
      <c r="C25" s="17" t="inlineStr">
        <is>
          <t>Must</t>
        </is>
      </c>
      <c r="D25" s="17" t="n">
        <v>4</v>
      </c>
      <c r="E25" s="15" t="n"/>
      <c r="F25" s="15" t="n"/>
      <c r="G25" s="15" t="n"/>
      <c r="H25" s="15" t="n"/>
      <c r="I25" s="18">
        <f>IFERROR(D25*INDEX('Scoring Summary'!$C$6:$C$11,MATCH(E25,'Scoring Summary'!$B$6:$B$11,0)),"")</f>
        <v/>
      </c>
    </row>
    <row r="26" ht="30" customHeight="1">
      <c r="A26" s="13" t="inlineStr">
        <is>
          <t>5.2.7</t>
        </is>
      </c>
      <c r="B26" s="14" t="inlineStr">
        <is>
          <t>Describe handling of a deletion request for a profile that is a member of an active segment.</t>
        </is>
      </c>
      <c r="C26" s="17" t="inlineStr">
        <is>
          <t>Should</t>
        </is>
      </c>
      <c r="D26" s="17" t="n">
        <v>3</v>
      </c>
      <c r="E26" s="15" t="n"/>
      <c r="F26" s="15" t="n"/>
      <c r="G26" s="15" t="n"/>
      <c r="H26" s="15" t="n"/>
      <c r="I26" s="18">
        <f>IFERROR(D26*INDEX('Scoring Summary'!$C$6:$C$11,MATCH(E26,'Scoring Summary'!$B$6:$B$11,0)),"")</f>
        <v/>
      </c>
    </row>
    <row r="27">
      <c r="A27" s="11" t="inlineStr">
        <is>
          <t>5.3  Data Residency and Cross-Border Transfer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 ht="30" customHeight="1">
      <c r="A28" s="13" t="inlineStr">
        <is>
          <t>5.3.1</t>
        </is>
      </c>
      <c r="B28" s="14" t="inlineStr">
        <is>
          <t>State all regions in which customer data may be stored at rest.</t>
        </is>
      </c>
      <c r="C28" s="17" t="inlineStr">
        <is>
          <t>Must</t>
        </is>
      </c>
      <c r="D28" s="17" t="n">
        <v>5</v>
      </c>
      <c r="E28" s="15" t="n"/>
      <c r="F28" s="15" t="n"/>
      <c r="G28" s="15" t="n"/>
      <c r="H28" s="15" t="n"/>
      <c r="I28" s="18">
        <f>IFERROR(D28*INDEX('Scoring Summary'!$C$6:$C$11,MATCH(E28,'Scoring Summary'!$B$6:$B$11,0)),"")</f>
        <v/>
      </c>
    </row>
    <row r="29" ht="30" customHeight="1">
      <c r="A29" s="13" t="inlineStr">
        <is>
          <t>5.3.2</t>
        </is>
      </c>
      <c r="B29" s="14" t="inlineStr">
        <is>
          <t>Confirm that Alderwood's data can be stored exclusively within the United States.</t>
        </is>
      </c>
      <c r="C29" s="17" t="inlineStr">
        <is>
          <t>Must</t>
        </is>
      </c>
      <c r="D29" s="17" t="n">
        <v>5</v>
      </c>
      <c r="E29" s="15" t="n"/>
      <c r="F29" s="15" t="n"/>
      <c r="G29" s="15" t="n"/>
      <c r="H29" s="15" t="n"/>
      <c r="I29" s="18">
        <f>IFERROR(D29*INDEX('Scoring Summary'!$C$6:$C$11,MATCH(E29,'Scoring Summary'!$B$6:$B$11,0)),"")</f>
        <v/>
      </c>
    </row>
    <row r="30" ht="30" customHeight="1">
      <c r="A30" s="13" t="inlineStr">
        <is>
          <t>5.3.3</t>
        </is>
      </c>
      <c r="B30" s="14" t="inlineStr">
        <is>
          <t>Alderwood anticipates expanding operations into Canada within 18 months. Confirm whether customer data can be hosted so as to meet Canadian data residency expectations.</t>
        </is>
      </c>
      <c r="C30" s="17" t="inlineStr">
        <is>
          <t>Must</t>
        </is>
      </c>
      <c r="D30" s="17" t="n">
        <v>4</v>
      </c>
      <c r="E30" s="15" t="n"/>
      <c r="F30" s="15" t="n"/>
      <c r="G30" s="15" t="n"/>
      <c r="H30" s="15" t="n"/>
      <c r="I30" s="18">
        <f>IFERROR(D30*INDEX('Scoring Summary'!$C$6:$C$11,MATCH(E30,'Scoring Summary'!$B$6:$B$11,0)),"")</f>
        <v/>
      </c>
    </row>
    <row r="31" ht="30" customHeight="1">
      <c r="A31" s="13" t="inlineStr">
        <is>
          <t>5.3.4</t>
        </is>
      </c>
      <c r="B31" s="14" t="inlineStr">
        <is>
          <t>Describe whether support and engineering personnel outside the storage region may access customer data, and under what controls.</t>
        </is>
      </c>
      <c r="C31" s="17" t="inlineStr">
        <is>
          <t>Must</t>
        </is>
      </c>
      <c r="D31" s="17" t="n">
        <v>4</v>
      </c>
      <c r="E31" s="15" t="n"/>
      <c r="F31" s="15" t="n"/>
      <c r="G31" s="15" t="n"/>
      <c r="H31" s="15" t="n"/>
      <c r="I31" s="18">
        <f>IFERROR(D31*INDEX('Scoring Summary'!$C$6:$C$11,MATCH(E31,'Scoring Summary'!$B$6:$B$11,0)),"")</f>
        <v/>
      </c>
    </row>
    <row r="32" ht="30" customHeight="1">
      <c r="A32" s="13" t="inlineStr">
        <is>
          <t>5.3.5</t>
        </is>
      </c>
      <c r="B32" s="14" t="inlineStr">
        <is>
          <t>Describe the legal transfer mechanism relied upon for any cross-border transfer of personal data.</t>
        </is>
      </c>
      <c r="C32" s="17" t="inlineStr">
        <is>
          <t>Should</t>
        </is>
      </c>
      <c r="D32" s="17" t="n">
        <v>3</v>
      </c>
      <c r="E32" s="15" t="n"/>
      <c r="F32" s="15" t="n"/>
      <c r="G32" s="15" t="n"/>
      <c r="H32" s="15" t="n"/>
      <c r="I32" s="18">
        <f>IFERROR(D32*INDEX('Scoring Summary'!$C$6:$C$11,MATCH(E32,'Scoring Summary'!$B$6:$B$11,0)),"")</f>
        <v/>
      </c>
    </row>
    <row r="33" ht="30" customHeight="1">
      <c r="A33" s="13" t="inlineStr">
        <is>
          <t>5.3.6</t>
        </is>
      </c>
      <c r="B33" s="14" t="inlineStr">
        <is>
          <t>Confirm whether data may be processed, as distinct from stored, outside the elected region.</t>
        </is>
      </c>
      <c r="C33" s="17" t="inlineStr">
        <is>
          <t>Must</t>
        </is>
      </c>
      <c r="D33" s="17" t="n">
        <v>4</v>
      </c>
      <c r="E33" s="15" t="n"/>
      <c r="F33" s="15" t="n"/>
      <c r="G33" s="15" t="n"/>
      <c r="H33" s="15" t="n"/>
      <c r="I33" s="18">
        <f>IFERROR(D33*INDEX('Scoring Summary'!$C$6:$C$11,MATCH(E33,'Scoring Summary'!$B$6:$B$11,0)),"")</f>
        <v/>
      </c>
    </row>
  </sheetData>
  <autoFilter ref="A8:I33"/>
  <mergeCells count="5">
    <mergeCell ref="A19:I19"/>
    <mergeCell ref="A10:I10"/>
    <mergeCell ref="A1:I1"/>
    <mergeCell ref="A27:I27"/>
    <mergeCell ref="A6:I6"/>
  </mergeCells>
  <dataValidations count="1">
    <dataValidation sqref="E11:E33" showDropDown="0" showInputMessage="0" showErrorMessage="0" allowBlank="1" errorTitle="Invalid compliance level" error="Select one of the six defined compliance levels. See the Instructions tab." type="list">
      <formula1>"Standard,Configuration,Customization,Third-Party,Roadmap,Not Supported"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4" customWidth="1" min="2" max="2"/>
    <col width="10" customWidth="1" min="3" max="3"/>
    <col width="9" customWidth="1" min="4" max="4"/>
    <col width="18" customWidth="1" min="5" max="5"/>
    <col width="46" customWidth="1" min="6" max="6"/>
    <col width="26" customWidth="1" min="7" max="7"/>
    <col width="16" customWidth="1" min="8" max="8"/>
    <col width="10" customWidth="1" min="9" max="9"/>
  </cols>
  <sheetData>
    <row r="1">
      <c r="A1" s="8" t="inlineStr">
        <is>
          <t>Section 6 - Implementation and Professional Services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8">
      <c r="A8" s="9" t="inlineStr">
        <is>
          <t>Req ID</t>
        </is>
      </c>
      <c r="B8" s="9" t="inlineStr">
        <is>
          <t>Requirement</t>
        </is>
      </c>
      <c r="C8" s="9" t="inlineStr">
        <is>
          <t>Priority</t>
        </is>
      </c>
      <c r="D8" s="9" t="inlineStr">
        <is>
          <t>Weight</t>
        </is>
      </c>
      <c r="E8" s="9" t="inlineStr">
        <is>
          <t>Compliance Level</t>
        </is>
      </c>
      <c r="F8" s="9" t="inlineStr">
        <is>
          <t>Vendor Comments</t>
        </is>
      </c>
      <c r="G8" s="9" t="inlineStr">
        <is>
          <t>Supporting Doc Reference</t>
        </is>
      </c>
      <c r="H8" s="9" t="inlineStr">
        <is>
          <t>Cost Impact (USD)</t>
        </is>
      </c>
      <c r="I8" s="9" t="inlineStr">
        <is>
          <t>Score</t>
        </is>
      </c>
    </row>
    <row r="9" ht="28" customHeight="1">
      <c r="A9" s="10" t="inlineStr">
        <is>
          <t>EXAMPLE</t>
        </is>
      </c>
      <c r="B9" s="10" t="inlineStr">
        <is>
          <t>(Example row illustrating the expected response format. Do not submit a response against this row.)</t>
        </is>
      </c>
      <c r="C9" s="10" t="inlineStr">
        <is>
          <t>Must</t>
        </is>
      </c>
      <c r="D9" s="10" t="n">
        <v>5</v>
      </c>
      <c r="E9" s="10" t="inlineStr">
        <is>
          <t>Configuration</t>
        </is>
      </c>
      <c r="F9" s="10" t="inlineStr">
        <is>
          <t>Supported in the current release. Requires an administrator to enable the feature and map source fields during onboarding.</t>
        </is>
      </c>
      <c r="G9" s="10" t="inlineStr">
        <is>
          <t>Admin Guide s.4.2, p.31</t>
        </is>
      </c>
      <c r="H9" s="10" t="n">
        <v>0</v>
      </c>
      <c r="I9" s="16" t="inlineStr">
        <is>
          <t>(not scored)</t>
        </is>
      </c>
    </row>
    <row r="10">
      <c r="A10" s="11" t="inlineStr">
        <is>
          <t>6.1  Implementation Approach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30" customHeight="1">
      <c r="A11" s="13" t="inlineStr">
        <is>
          <t>6.1.1</t>
        </is>
      </c>
      <c r="B11" s="14" t="inlineStr">
        <is>
          <t>Describe your implementation methodology and typical project phases.</t>
        </is>
      </c>
      <c r="C11" s="17" t="inlineStr">
        <is>
          <t>Must</t>
        </is>
      </c>
      <c r="D11" s="17" t="n">
        <v>4</v>
      </c>
      <c r="E11" s="15" t="n"/>
      <c r="F11" s="15" t="n"/>
      <c r="G11" s="15" t="n"/>
      <c r="H11" s="15" t="n"/>
      <c r="I11" s="18">
        <f>IFERROR(D11*INDEX('Scoring Summary'!$C$6:$C$11,MATCH(E11,'Scoring Summary'!$B$6:$B$11,0)),"")</f>
        <v/>
      </c>
    </row>
    <row r="12" ht="30" customHeight="1">
      <c r="A12" s="13" t="inlineStr">
        <is>
          <t>6.1.2</t>
        </is>
      </c>
      <c r="B12" s="14" t="inlineStr">
        <is>
          <t>State the typical elapsed time to first production value for a customer of Alderwood's size and source complexity.</t>
        </is>
      </c>
      <c r="C12" s="17" t="inlineStr">
        <is>
          <t>Must</t>
        </is>
      </c>
      <c r="D12" s="17" t="n">
        <v>5</v>
      </c>
      <c r="E12" s="15" t="n"/>
      <c r="F12" s="15" t="n"/>
      <c r="G12" s="15" t="n"/>
      <c r="H12" s="15" t="n"/>
      <c r="I12" s="18">
        <f>IFERROR(D12*INDEX('Scoring Summary'!$C$6:$C$11,MATCH(E12,'Scoring Summary'!$B$6:$B$11,0)),"")</f>
        <v/>
      </c>
    </row>
    <row r="13" ht="30" customHeight="1">
      <c r="A13" s="13" t="inlineStr">
        <is>
          <t>6.1.3</t>
        </is>
      </c>
      <c r="B13" s="14" t="inlineStr">
        <is>
          <t>Provide an indicative project plan for a deployment covering web, mobile, point-of-sale, and loyalty data sources.</t>
        </is>
      </c>
      <c r="C13" s="17" t="inlineStr">
        <is>
          <t>Must</t>
        </is>
      </c>
      <c r="D13" s="17" t="n">
        <v>4</v>
      </c>
      <c r="E13" s="15" t="n"/>
      <c r="F13" s="15" t="n"/>
      <c r="G13" s="15" t="n"/>
      <c r="H13" s="15" t="n"/>
      <c r="I13" s="18">
        <f>IFERROR(D13*INDEX('Scoring Summary'!$C$6:$C$11,MATCH(E13,'Scoring Summary'!$B$6:$B$11,0)),"")</f>
        <v/>
      </c>
    </row>
    <row r="14" ht="30" customHeight="1">
      <c r="A14" s="13" t="inlineStr">
        <is>
          <t>6.1.4</t>
        </is>
      </c>
      <c r="B14" s="14" t="inlineStr">
        <is>
          <t>State the Alderwood resources and roles you expect to be committed during implementation, and the approximate time commitment of each.</t>
        </is>
      </c>
      <c r="C14" s="17" t="inlineStr">
        <is>
          <t>Must</t>
        </is>
      </c>
      <c r="D14" s="17" t="n">
        <v>4</v>
      </c>
      <c r="E14" s="15" t="n"/>
      <c r="F14" s="15" t="n"/>
      <c r="G14" s="15" t="n"/>
      <c r="H14" s="15" t="n"/>
      <c r="I14" s="18">
        <f>IFERROR(D14*INDEX('Scoring Summary'!$C$6:$C$11,MATCH(E14,'Scoring Summary'!$B$6:$B$11,0)),"")</f>
        <v/>
      </c>
    </row>
    <row r="15" ht="30" customHeight="1">
      <c r="A15" s="13" t="inlineStr">
        <is>
          <t>6.1.5</t>
        </is>
      </c>
      <c r="B15" s="14" t="inlineStr">
        <is>
          <t>Describe how historical data migration is handled at initial load.</t>
        </is>
      </c>
      <c r="C15" s="17" t="inlineStr">
        <is>
          <t>Must</t>
        </is>
      </c>
      <c r="D15" s="17" t="n">
        <v>4</v>
      </c>
      <c r="E15" s="15" t="n"/>
      <c r="F15" s="15" t="n"/>
      <c r="G15" s="15" t="n"/>
      <c r="H15" s="15" t="n"/>
      <c r="I15" s="18">
        <f>IFERROR(D15*INDEX('Scoring Summary'!$C$6:$C$11,MATCH(E15,'Scoring Summary'!$B$6:$B$11,0)),"")</f>
        <v/>
      </c>
    </row>
    <row r="16" ht="30" customHeight="1">
      <c r="A16" s="13" t="inlineStr">
        <is>
          <t>6.1.6</t>
        </is>
      </c>
      <c r="B16" s="14" t="inlineStr">
        <is>
          <t>Describe your approach to validating that migrated data is complete and accurate.</t>
        </is>
      </c>
      <c r="C16" s="17" t="inlineStr">
        <is>
          <t>Must</t>
        </is>
      </c>
      <c r="D16" s="17" t="n">
        <v>4</v>
      </c>
      <c r="E16" s="15" t="n"/>
      <c r="F16" s="15" t="n"/>
      <c r="G16" s="15" t="n"/>
      <c r="H16" s="15" t="n"/>
      <c r="I16" s="18">
        <f>IFERROR(D16*INDEX('Scoring Summary'!$C$6:$C$11,MATCH(E16,'Scoring Summary'!$B$6:$B$11,0)),"")</f>
        <v/>
      </c>
    </row>
    <row r="17" ht="30" customHeight="1">
      <c r="A17" s="13" t="inlineStr">
        <is>
          <t>6.1.7</t>
        </is>
      </c>
      <c r="B17" s="14" t="inlineStr">
        <is>
          <t>Describe the acceptance criteria you propose for implementation sign-off.</t>
        </is>
      </c>
      <c r="C17" s="17" t="inlineStr">
        <is>
          <t>Should</t>
        </is>
      </c>
      <c r="D17" s="17" t="n">
        <v>3</v>
      </c>
      <c r="E17" s="15" t="n"/>
      <c r="F17" s="15" t="n"/>
      <c r="G17" s="15" t="n"/>
      <c r="H17" s="15" t="n"/>
      <c r="I17" s="18">
        <f>IFERROR(D17*INDEX('Scoring Summary'!$C$6:$C$11,MATCH(E17,'Scoring Summary'!$B$6:$B$11,0)),"")</f>
        <v/>
      </c>
    </row>
    <row r="18">
      <c r="A18" s="11" t="inlineStr">
        <is>
          <t>6.2  Services and Enablement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13" t="inlineStr">
        <is>
          <t>6.2.1</t>
        </is>
      </c>
      <c r="B19" s="14" t="inlineStr">
        <is>
          <t>State which professional services are included in the subscription and which are billed separately.</t>
        </is>
      </c>
      <c r="C19" s="17" t="inlineStr">
        <is>
          <t>Must</t>
        </is>
      </c>
      <c r="D19" s="17" t="n">
        <v>4</v>
      </c>
      <c r="E19" s="15" t="n"/>
      <c r="F19" s="15" t="n"/>
      <c r="G19" s="15" t="n"/>
      <c r="H19" s="15" t="n"/>
      <c r="I19" s="18">
        <f>IFERROR(D19*INDEX('Scoring Summary'!$C$6:$C$11,MATCH(E19,'Scoring Summary'!$B$6:$B$11,0)),"")</f>
        <v/>
      </c>
    </row>
    <row r="20" ht="30" customHeight="1">
      <c r="A20" s="13" t="inlineStr">
        <is>
          <t>6.2.2</t>
        </is>
      </c>
      <c r="B20" s="14" t="inlineStr">
        <is>
          <t>State your standard professional services rates by role.</t>
        </is>
      </c>
      <c r="C20" s="17" t="inlineStr">
        <is>
          <t>Must</t>
        </is>
      </c>
      <c r="D20" s="17" t="n">
        <v>3</v>
      </c>
      <c r="E20" s="15" t="n"/>
      <c r="F20" s="15" t="n"/>
      <c r="G20" s="15" t="n"/>
      <c r="H20" s="15" t="n"/>
      <c r="I20" s="18">
        <f>IFERROR(D20*INDEX('Scoring Summary'!$C$6:$C$11,MATCH(E20,'Scoring Summary'!$B$6:$B$11,0)),"")</f>
        <v/>
      </c>
    </row>
    <row r="21" ht="30" customHeight="1">
      <c r="A21" s="13" t="inlineStr">
        <is>
          <t>6.2.3</t>
        </is>
      </c>
      <c r="B21" s="14" t="inlineStr">
        <is>
          <t>Describe training provided for administrators and for business users, and state whether it is included.</t>
        </is>
      </c>
      <c r="C21" s="17" t="inlineStr">
        <is>
          <t>Must</t>
        </is>
      </c>
      <c r="D21" s="17" t="n">
        <v>3</v>
      </c>
      <c r="E21" s="15" t="n"/>
      <c r="F21" s="15" t="n"/>
      <c r="G21" s="15" t="n"/>
      <c r="H21" s="15" t="n"/>
      <c r="I21" s="18">
        <f>IFERROR(D21*INDEX('Scoring Summary'!$C$6:$C$11,MATCH(E21,'Scoring Summary'!$B$6:$B$11,0)),"")</f>
        <v/>
      </c>
    </row>
    <row r="22" ht="30" customHeight="1">
      <c r="A22" s="13" t="inlineStr">
        <is>
          <t>6.2.4</t>
        </is>
      </c>
      <c r="B22" s="14" t="inlineStr">
        <is>
          <t>Describe available certification programmes for customer staff.</t>
        </is>
      </c>
      <c r="C22" s="17" t="inlineStr">
        <is>
          <t>Nice</t>
        </is>
      </c>
      <c r="D22" s="17" t="n">
        <v>2</v>
      </c>
      <c r="E22" s="15" t="n"/>
      <c r="F22" s="15" t="n"/>
      <c r="G22" s="15" t="n"/>
      <c r="H22" s="15" t="n"/>
      <c r="I22" s="18">
        <f>IFERROR(D22*INDEX('Scoring Summary'!$C$6:$C$11,MATCH(E22,'Scoring Summary'!$B$6:$B$11,0)),"")</f>
        <v/>
      </c>
    </row>
    <row r="23" ht="30" customHeight="1">
      <c r="A23" s="13" t="inlineStr">
        <is>
          <t>6.2.5</t>
        </is>
      </c>
      <c r="B23" s="14" t="inlineStr">
        <is>
          <t>Confirm whether implementation may be delivered by a third-party systems integrator, and name any certified partners in North America.</t>
        </is>
      </c>
      <c r="C23" s="17" t="inlineStr">
        <is>
          <t>Should</t>
        </is>
      </c>
      <c r="D23" s="17" t="n">
        <v>3</v>
      </c>
      <c r="E23" s="15" t="n"/>
      <c r="F23" s="15" t="n"/>
      <c r="G23" s="15" t="n"/>
      <c r="H23" s="15" t="n"/>
      <c r="I23" s="18">
        <f>IFERROR(D23*INDEX('Scoring Summary'!$C$6:$C$11,MATCH(E23,'Scoring Summary'!$B$6:$B$11,0)),"")</f>
        <v/>
      </c>
    </row>
  </sheetData>
  <autoFilter ref="A8:I23"/>
  <mergeCells count="3">
    <mergeCell ref="A1:I1"/>
    <mergeCell ref="A18:I18"/>
    <mergeCell ref="A10:I10"/>
  </mergeCells>
  <dataValidations count="1">
    <dataValidation sqref="E11:E23" showDropDown="0" showInputMessage="0" showErrorMessage="0" allowBlank="1" errorTitle="Invalid compliance level" error="Select one of the six defined compliance levels. See the Instructions tab." type="list">
      <formula1>"Standard,Configuration,Customization,Third-Party,Roadmap,Not Supported"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4" customWidth="1" min="2" max="2"/>
    <col width="10" customWidth="1" min="3" max="3"/>
    <col width="9" customWidth="1" min="4" max="4"/>
    <col width="18" customWidth="1" min="5" max="5"/>
    <col width="46" customWidth="1" min="6" max="6"/>
    <col width="26" customWidth="1" min="7" max="7"/>
    <col width="16" customWidth="1" min="8" max="8"/>
    <col width="10" customWidth="1" min="9" max="9"/>
  </cols>
  <sheetData>
    <row r="1">
      <c r="A1" s="8" t="inlineStr">
        <is>
          <t>Section 7 - Support and Service Levels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8">
      <c r="A8" s="9" t="inlineStr">
        <is>
          <t>Req ID</t>
        </is>
      </c>
      <c r="B8" s="9" t="inlineStr">
        <is>
          <t>Requirement</t>
        </is>
      </c>
      <c r="C8" s="9" t="inlineStr">
        <is>
          <t>Priority</t>
        </is>
      </c>
      <c r="D8" s="9" t="inlineStr">
        <is>
          <t>Weight</t>
        </is>
      </c>
      <c r="E8" s="9" t="inlineStr">
        <is>
          <t>Compliance Level</t>
        </is>
      </c>
      <c r="F8" s="9" t="inlineStr">
        <is>
          <t>Vendor Comments</t>
        </is>
      </c>
      <c r="G8" s="9" t="inlineStr">
        <is>
          <t>Supporting Doc Reference</t>
        </is>
      </c>
      <c r="H8" s="9" t="inlineStr">
        <is>
          <t>Cost Impact (USD)</t>
        </is>
      </c>
      <c r="I8" s="9" t="inlineStr">
        <is>
          <t>Score</t>
        </is>
      </c>
    </row>
    <row r="9" ht="28" customHeight="1">
      <c r="A9" s="10" t="inlineStr">
        <is>
          <t>EXAMPLE</t>
        </is>
      </c>
      <c r="B9" s="10" t="inlineStr">
        <is>
          <t>(Example row illustrating the expected response format. Do not submit a response against this row.)</t>
        </is>
      </c>
      <c r="C9" s="10" t="inlineStr">
        <is>
          <t>Must</t>
        </is>
      </c>
      <c r="D9" s="10" t="n">
        <v>5</v>
      </c>
      <c r="E9" s="10" t="inlineStr">
        <is>
          <t>Configuration</t>
        </is>
      </c>
      <c r="F9" s="10" t="inlineStr">
        <is>
          <t>Supported in the current release. Requires an administrator to enable the feature and map source fields during onboarding.</t>
        </is>
      </c>
      <c r="G9" s="10" t="inlineStr">
        <is>
          <t>Admin Guide s.4.2, p.31</t>
        </is>
      </c>
      <c r="H9" s="10" t="n">
        <v>0</v>
      </c>
      <c r="I9" s="16" t="inlineStr">
        <is>
          <t>(not scored)</t>
        </is>
      </c>
    </row>
    <row r="10">
      <c r="A10" s="11" t="inlineStr">
        <is>
          <t>7.1  Service Level Commitments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30" customHeight="1">
      <c r="A11" s="13" t="inlineStr">
        <is>
          <t>7.1.1</t>
        </is>
      </c>
      <c r="B11" s="14" t="inlineStr">
        <is>
          <t>State the uptime service level commitment offered, and confirm whether it is contractual.</t>
        </is>
      </c>
      <c r="C11" s="17" t="inlineStr">
        <is>
          <t>Must</t>
        </is>
      </c>
      <c r="D11" s="17" t="n">
        <v>5</v>
      </c>
      <c r="E11" s="15" t="n"/>
      <c r="F11" s="15" t="n"/>
      <c r="G11" s="15" t="n"/>
      <c r="H11" s="15" t="n"/>
      <c r="I11" s="18">
        <f>IFERROR(D11*INDEX('Scoring Summary'!$C$6:$C$11,MATCH(E11,'Scoring Summary'!$B$6:$B$11,0)),"")</f>
        <v/>
      </c>
    </row>
    <row r="12" ht="30" customHeight="1">
      <c r="A12" s="13" t="inlineStr">
        <is>
          <t>7.1.2</t>
        </is>
      </c>
      <c r="B12" s="14" t="inlineStr">
        <is>
          <t>State the remedy available in the event of a service level breach, including the service credit schedule.</t>
        </is>
      </c>
      <c r="C12" s="17" t="inlineStr">
        <is>
          <t>Must</t>
        </is>
      </c>
      <c r="D12" s="17" t="n">
        <v>4</v>
      </c>
      <c r="E12" s="15" t="n"/>
      <c r="F12" s="15" t="n"/>
      <c r="G12" s="15" t="n"/>
      <c r="H12" s="15" t="n"/>
      <c r="I12" s="18">
        <f>IFERROR(D12*INDEX('Scoring Summary'!$C$6:$C$11,MATCH(E12,'Scoring Summary'!$B$6:$B$11,0)),"")</f>
        <v/>
      </c>
    </row>
    <row r="13" ht="30" customHeight="1">
      <c r="A13" s="13" t="inlineStr">
        <is>
          <t>7.1.3</t>
        </is>
      </c>
      <c r="B13" s="14" t="inlineStr">
        <is>
          <t>State how uptime is measured and confirm whether the measurement is independently verifiable.</t>
        </is>
      </c>
      <c r="C13" s="17" t="inlineStr">
        <is>
          <t>Must</t>
        </is>
      </c>
      <c r="D13" s="17" t="n">
        <v>4</v>
      </c>
      <c r="E13" s="15" t="n"/>
      <c r="F13" s="15" t="n"/>
      <c r="G13" s="15" t="n"/>
      <c r="H13" s="15" t="n"/>
      <c r="I13" s="18">
        <f>IFERROR(D13*INDEX('Scoring Summary'!$C$6:$C$11,MATCH(E13,'Scoring Summary'!$B$6:$B$11,0)),"")</f>
        <v/>
      </c>
    </row>
    <row r="14" ht="30" customHeight="1">
      <c r="A14" s="13" t="inlineStr">
        <is>
          <t>7.1.4</t>
        </is>
      </c>
      <c r="B14" s="14" t="inlineStr">
        <is>
          <t>State what is excluded from the uptime calculation, including planned maintenance.</t>
        </is>
      </c>
      <c r="C14" s="17" t="inlineStr">
        <is>
          <t>Must</t>
        </is>
      </c>
      <c r="D14" s="17" t="n">
        <v>4</v>
      </c>
      <c r="E14" s="15" t="n"/>
      <c r="F14" s="15" t="n"/>
      <c r="G14" s="15" t="n"/>
      <c r="H14" s="15" t="n"/>
      <c r="I14" s="18">
        <f>IFERROR(D14*INDEX('Scoring Summary'!$C$6:$C$11,MATCH(E14,'Scoring Summary'!$B$6:$B$11,0)),"")</f>
        <v/>
      </c>
    </row>
    <row r="15" ht="30" customHeight="1">
      <c r="A15" s="13" t="inlineStr">
        <is>
          <t>7.1.5</t>
        </is>
      </c>
      <c r="B15" s="14" t="inlineStr">
        <is>
          <t>State whether a data freshness or processing latency service level is offered in addition to uptime.</t>
        </is>
      </c>
      <c r="C15" s="17" t="inlineStr">
        <is>
          <t>Should</t>
        </is>
      </c>
      <c r="D15" s="17" t="n">
        <v>4</v>
      </c>
      <c r="E15" s="15" t="n"/>
      <c r="F15" s="15" t="n"/>
      <c r="G15" s="15" t="n"/>
      <c r="H15" s="15" t="n"/>
      <c r="I15" s="18">
        <f>IFERROR(D15*INDEX('Scoring Summary'!$C$6:$C$11,MATCH(E15,'Scoring Summary'!$B$6:$B$11,0)),"")</f>
        <v/>
      </c>
    </row>
    <row r="16">
      <c r="A16" s="11" t="inlineStr">
        <is>
          <t>7.2  Support Model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13" t="inlineStr">
        <is>
          <t>7.2.1</t>
        </is>
      </c>
      <c r="B17" s="14" t="inlineStr">
        <is>
          <t>State support response time commitments by severity level for the tier proposed in this response.</t>
        </is>
      </c>
      <c r="C17" s="17" t="inlineStr">
        <is>
          <t>Must</t>
        </is>
      </c>
      <c r="D17" s="17" t="n">
        <v>5</v>
      </c>
      <c r="E17" s="15" t="n"/>
      <c r="F17" s="15" t="n"/>
      <c r="G17" s="15" t="n"/>
      <c r="H17" s="15" t="n"/>
      <c r="I17" s="18">
        <f>IFERROR(D17*INDEX('Scoring Summary'!$C$6:$C$11,MATCH(E17,'Scoring Summary'!$B$6:$B$11,0)),"")</f>
        <v/>
      </c>
    </row>
    <row r="18" ht="30" customHeight="1">
      <c r="A18" s="13" t="inlineStr">
        <is>
          <t>7.2.2</t>
        </is>
      </c>
      <c r="B18" s="14" t="inlineStr">
        <is>
          <t>Confirm whether 24-hour support is available every day of the year, and state through which channels.</t>
        </is>
      </c>
      <c r="C18" s="17" t="inlineStr">
        <is>
          <t>Must</t>
        </is>
      </c>
      <c r="D18" s="17" t="n">
        <v>5</v>
      </c>
      <c r="E18" s="15" t="n"/>
      <c r="F18" s="15" t="n"/>
      <c r="G18" s="15" t="n"/>
      <c r="H18" s="15" t="n"/>
      <c r="I18" s="18">
        <f>IFERROR(D18*INDEX('Scoring Summary'!$C$6:$C$11,MATCH(E18,'Scoring Summary'!$B$6:$B$11,0)),"")</f>
        <v/>
      </c>
    </row>
    <row r="19" ht="30" customHeight="1">
      <c r="A19" s="13" t="inlineStr">
        <is>
          <t>7.2.3</t>
        </is>
      </c>
      <c r="B19" s="14" t="inlineStr">
        <is>
          <t>State the geographic locations from which support is delivered.</t>
        </is>
      </c>
      <c r="C19" s="17" t="inlineStr">
        <is>
          <t>Should</t>
        </is>
      </c>
      <c r="D19" s="17" t="n">
        <v>3</v>
      </c>
      <c r="E19" s="15" t="n"/>
      <c r="F19" s="15" t="n"/>
      <c r="G19" s="15" t="n"/>
      <c r="H19" s="15" t="n"/>
      <c r="I19" s="18">
        <f>IFERROR(D19*INDEX('Scoring Summary'!$C$6:$C$11,MATCH(E19,'Scoring Summary'!$B$6:$B$11,0)),"")</f>
        <v/>
      </c>
    </row>
    <row r="20" ht="30" customHeight="1">
      <c r="A20" s="13" t="inlineStr">
        <is>
          <t>7.2.4</t>
        </is>
      </c>
      <c r="B20" s="14" t="inlineStr">
        <is>
          <t>Confirm whether a named Technical Account Manager or Customer Success Manager is assigned, and state whether that is included in the proposed tier.</t>
        </is>
      </c>
      <c r="C20" s="17" t="inlineStr">
        <is>
          <t>Must</t>
        </is>
      </c>
      <c r="D20" s="17" t="n">
        <v>4</v>
      </c>
      <c r="E20" s="15" t="n"/>
      <c r="F20" s="15" t="n"/>
      <c r="G20" s="15" t="n"/>
      <c r="H20" s="15" t="n"/>
      <c r="I20" s="18">
        <f>IFERROR(D20*INDEX('Scoring Summary'!$C$6:$C$11,MATCH(E20,'Scoring Summary'!$B$6:$B$11,0)),"")</f>
        <v/>
      </c>
    </row>
    <row r="21" ht="30" customHeight="1">
      <c r="A21" s="13" t="inlineStr">
        <is>
          <t>7.2.5</t>
        </is>
      </c>
      <c r="B21" s="14" t="inlineStr">
        <is>
          <t>Describe the escalation path available when a severity one issue is not progressing.</t>
        </is>
      </c>
      <c r="C21" s="17" t="inlineStr">
        <is>
          <t>Must</t>
        </is>
      </c>
      <c r="D21" s="17" t="n">
        <v>4</v>
      </c>
      <c r="E21" s="15" t="n"/>
      <c r="F21" s="15" t="n"/>
      <c r="G21" s="15" t="n"/>
      <c r="H21" s="15" t="n"/>
      <c r="I21" s="18">
        <f>IFERROR(D21*INDEX('Scoring Summary'!$C$6:$C$11,MATCH(E21,'Scoring Summary'!$B$6:$B$11,0)),"")</f>
        <v/>
      </c>
    </row>
    <row r="22" ht="30" customHeight="1">
      <c r="A22" s="13" t="inlineStr">
        <is>
          <t>7.2.6</t>
        </is>
      </c>
      <c r="B22" s="14" t="inlineStr">
        <is>
          <t>Describe the support ticketing system provided and whether it integrates with a customer-operated service desk.</t>
        </is>
      </c>
      <c r="C22" s="17" t="inlineStr">
        <is>
          <t>Should</t>
        </is>
      </c>
      <c r="D22" s="17" t="n">
        <v>3</v>
      </c>
      <c r="E22" s="15" t="n"/>
      <c r="F22" s="15" t="n"/>
      <c r="G22" s="15" t="n"/>
      <c r="H22" s="15" t="n"/>
      <c r="I22" s="18">
        <f>IFERROR(D22*INDEX('Scoring Summary'!$C$6:$C$11,MATCH(E22,'Scoring Summary'!$B$6:$B$11,0)),"")</f>
        <v/>
      </c>
    </row>
    <row r="23" ht="30" customHeight="1">
      <c r="A23" s="13" t="inlineStr">
        <is>
          <t>7.2.7</t>
        </is>
      </c>
      <c r="B23" s="14" t="inlineStr">
        <is>
          <t>State your published support hours and confirm coverage of Alderwood's peak retail trading period.</t>
        </is>
      </c>
      <c r="C23" s="17" t="inlineStr">
        <is>
          <t>Must</t>
        </is>
      </c>
      <c r="D23" s="17" t="n">
        <v>4</v>
      </c>
      <c r="E23" s="15" t="n"/>
      <c r="F23" s="15" t="n"/>
      <c r="G23" s="15" t="n"/>
      <c r="H23" s="15" t="n"/>
      <c r="I23" s="18">
        <f>IFERROR(D23*INDEX('Scoring Summary'!$C$6:$C$11,MATCH(E23,'Scoring Summary'!$B$6:$B$11,0)),"")</f>
        <v/>
      </c>
    </row>
  </sheetData>
  <autoFilter ref="A8:I23"/>
  <mergeCells count="3">
    <mergeCell ref="A1:I1"/>
    <mergeCell ref="A16:I16"/>
    <mergeCell ref="A10:I10"/>
  </mergeCells>
  <dataValidations count="1">
    <dataValidation sqref="E11:E23" showDropDown="0" showInputMessage="0" showErrorMessage="0" allowBlank="1" errorTitle="Invalid compliance level" error="Select one of the six defined compliance levels. See the Instructions tab." type="list">
      <formula1>"Standard,Configuration,Customization,Third-Party,Roadmap,Not Supported"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4" customWidth="1" min="2" max="2"/>
    <col width="10" customWidth="1" min="3" max="3"/>
    <col width="9" customWidth="1" min="4" max="4"/>
    <col width="18" customWidth="1" min="5" max="5"/>
    <col width="46" customWidth="1" min="6" max="6"/>
    <col width="26" customWidth="1" min="7" max="7"/>
    <col width="16" customWidth="1" min="8" max="8"/>
    <col width="10" customWidth="1" min="9" max="9"/>
  </cols>
  <sheetData>
    <row r="1">
      <c r="A1" s="8" t="inlineStr">
        <is>
          <t>Section 8 - Commercial Terms and Corporate Responsibility</t>
        </is>
      </c>
    </row>
    <row r="2">
      <c r="A2" s="3" t="inlineStr">
        <is>
          <t>Issuing organization</t>
        </is>
      </c>
      <c r="B2" s="4" t="inlineStr">
        <is>
          <t>Alderwood Retail Group</t>
        </is>
      </c>
    </row>
    <row r="3">
      <c r="A3" s="3" t="inlineStr">
        <is>
          <t>RFP reference</t>
        </is>
      </c>
      <c r="B3" s="4" t="inlineStr">
        <is>
          <t>ARG-CDP-2026-014</t>
        </is>
      </c>
    </row>
    <row r="4">
      <c r="A4" s="3" t="inlineStr">
        <is>
          <t>Issued</t>
        </is>
      </c>
      <c r="B4" s="4" t="inlineStr">
        <is>
          <t>1 July 2026</t>
        </is>
      </c>
    </row>
    <row r="5">
      <c r="A5" s="3" t="inlineStr">
        <is>
          <t>Responses due</t>
        </is>
      </c>
      <c r="B5" s="4" t="inlineStr">
        <is>
          <t>15 August 2026, 5:00 p.m. Pacific</t>
        </is>
      </c>
    </row>
    <row r="8">
      <c r="A8" s="9" t="inlineStr">
        <is>
          <t>Req ID</t>
        </is>
      </c>
      <c r="B8" s="9" t="inlineStr">
        <is>
          <t>Requirement</t>
        </is>
      </c>
      <c r="C8" s="9" t="inlineStr">
        <is>
          <t>Priority</t>
        </is>
      </c>
      <c r="D8" s="9" t="inlineStr">
        <is>
          <t>Weight</t>
        </is>
      </c>
      <c r="E8" s="9" t="inlineStr">
        <is>
          <t>Compliance Level</t>
        </is>
      </c>
      <c r="F8" s="9" t="inlineStr">
        <is>
          <t>Vendor Comments</t>
        </is>
      </c>
      <c r="G8" s="9" t="inlineStr">
        <is>
          <t>Supporting Doc Reference</t>
        </is>
      </c>
      <c r="H8" s="9" t="inlineStr">
        <is>
          <t>Cost Impact (USD)</t>
        </is>
      </c>
      <c r="I8" s="9" t="inlineStr">
        <is>
          <t>Score</t>
        </is>
      </c>
    </row>
    <row r="9" ht="28" customHeight="1">
      <c r="A9" s="10" t="inlineStr">
        <is>
          <t>EXAMPLE</t>
        </is>
      </c>
      <c r="B9" s="10" t="inlineStr">
        <is>
          <t>(Example row illustrating the expected response format. Do not submit a response against this row.)</t>
        </is>
      </c>
      <c r="C9" s="10" t="inlineStr">
        <is>
          <t>Must</t>
        </is>
      </c>
      <c r="D9" s="10" t="n">
        <v>5</v>
      </c>
      <c r="E9" s="10" t="inlineStr">
        <is>
          <t>Configuration</t>
        </is>
      </c>
      <c r="F9" s="10" t="inlineStr">
        <is>
          <t>Supported in the current release. Requires an administrator to enable the feature and map source fields during onboarding.</t>
        </is>
      </c>
      <c r="G9" s="10" t="inlineStr">
        <is>
          <t>Admin Guide s.4.2, p.31</t>
        </is>
      </c>
      <c r="H9" s="10" t="n">
        <v>0</v>
      </c>
      <c r="I9" s="16" t="inlineStr">
        <is>
          <t>(not scored)</t>
        </is>
      </c>
    </row>
    <row r="10">
      <c r="A10" s="11" t="inlineStr">
        <is>
          <t>8.1  Pricing and Commercial Structure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30" customHeight="1">
      <c r="A11" s="13" t="inlineStr">
        <is>
          <t>8.1.1</t>
        </is>
      </c>
      <c r="B11" s="14" t="inlineStr">
        <is>
          <t>Provide pricing for a deployment covering approximately 2.1 million tracked customer profiles, including any volume discount structure.</t>
        </is>
      </c>
      <c r="C11" s="17" t="inlineStr">
        <is>
          <t>Must</t>
        </is>
      </c>
      <c r="D11" s="17" t="n">
        <v>5</v>
      </c>
      <c r="E11" s="15" t="n"/>
      <c r="F11" s="15" t="n"/>
      <c r="G11" s="15" t="n"/>
      <c r="H11" s="15" t="n"/>
      <c r="I11" s="18">
        <f>IFERROR(D11*INDEX('Scoring Summary'!$C$6:$C$11,MATCH(E11,'Scoring Summary'!$B$6:$B$11,0)),"")</f>
        <v/>
      </c>
    </row>
    <row r="12" ht="30" customHeight="1">
      <c r="A12" s="13" t="inlineStr">
        <is>
          <t>8.1.2</t>
        </is>
      </c>
      <c r="B12" s="14" t="inlineStr">
        <is>
          <t>State your overage billing policy in the event tracked profile volume exceeds the contracted tier mid-term.</t>
        </is>
      </c>
      <c r="C12" s="17" t="inlineStr">
        <is>
          <t>Must</t>
        </is>
      </c>
      <c r="D12" s="17" t="n">
        <v>4</v>
      </c>
      <c r="E12" s="15" t="n"/>
      <c r="F12" s="15" t="n"/>
      <c r="G12" s="15" t="n"/>
      <c r="H12" s="15" t="n"/>
      <c r="I12" s="18">
        <f>IFERROR(D12*INDEX('Scoring Summary'!$C$6:$C$11,MATCH(E12,'Scoring Summary'!$B$6:$B$11,0)),"")</f>
        <v/>
      </c>
    </row>
    <row r="13" ht="30" customHeight="1">
      <c r="A13" s="13" t="inlineStr">
        <is>
          <t>8.1.3</t>
        </is>
      </c>
      <c r="B13" s="14" t="inlineStr">
        <is>
          <t>State your pricing metric and confirm whether it is based on tracked profiles, events, or another unit.</t>
        </is>
      </c>
      <c r="C13" s="17" t="inlineStr">
        <is>
          <t>Must</t>
        </is>
      </c>
      <c r="D13" s="17" t="n">
        <v>4</v>
      </c>
      <c r="E13" s="15" t="n"/>
      <c r="F13" s="15" t="n"/>
      <c r="G13" s="15" t="n"/>
      <c r="H13" s="15" t="n"/>
      <c r="I13" s="18">
        <f>IFERROR(D13*INDEX('Scoring Summary'!$C$6:$C$11,MATCH(E13,'Scoring Summary'!$B$6:$B$11,0)),"")</f>
        <v/>
      </c>
    </row>
    <row r="14" ht="30" customHeight="1">
      <c r="A14" s="13" t="inlineStr">
        <is>
          <t>8.1.4</t>
        </is>
      </c>
      <c r="B14" s="14" t="inlineStr">
        <is>
          <t>State your standard annual uplift on renewal and confirm whether it can be capped contractually.</t>
        </is>
      </c>
      <c r="C14" s="17" t="inlineStr">
        <is>
          <t>Must</t>
        </is>
      </c>
      <c r="D14" s="17" t="n">
        <v>4</v>
      </c>
      <c r="E14" s="15" t="n"/>
      <c r="F14" s="15" t="n"/>
      <c r="G14" s="15" t="n"/>
      <c r="H14" s="15" t="n"/>
      <c r="I14" s="18">
        <f>IFERROR(D14*INDEX('Scoring Summary'!$C$6:$C$11,MATCH(E14,'Scoring Summary'!$B$6:$B$11,0)),"")</f>
        <v/>
      </c>
    </row>
    <row r="15" ht="30" customHeight="1">
      <c r="A15" s="13" t="inlineStr">
        <is>
          <t>8.1.5</t>
        </is>
      </c>
      <c r="B15" s="14" t="inlineStr">
        <is>
          <t>Confirm whether multi-year pricing is available and state the discount offered for a three-year commitment.</t>
        </is>
      </c>
      <c r="C15" s="17" t="inlineStr">
        <is>
          <t>Should</t>
        </is>
      </c>
      <c r="D15" s="17" t="n">
        <v>3</v>
      </c>
      <c r="E15" s="15" t="n"/>
      <c r="F15" s="15" t="n"/>
      <c r="G15" s="15" t="n"/>
      <c r="H15" s="15" t="n"/>
      <c r="I15" s="18">
        <f>IFERROR(D15*INDEX('Scoring Summary'!$C$6:$C$11,MATCH(E15,'Scoring Summary'!$B$6:$B$11,0)),"")</f>
        <v/>
      </c>
    </row>
    <row r="16" ht="30" customHeight="1">
      <c r="A16" s="13" t="inlineStr">
        <is>
          <t>8.1.6</t>
        </is>
      </c>
      <c r="B16" s="14" t="inlineStr">
        <is>
          <t>State your standard payment terms and confirm whether annual invoicing in advance is required.</t>
        </is>
      </c>
      <c r="C16" s="17" t="inlineStr">
        <is>
          <t>Should</t>
        </is>
      </c>
      <c r="D16" s="17" t="n">
        <v>3</v>
      </c>
      <c r="E16" s="15" t="n"/>
      <c r="F16" s="15" t="n"/>
      <c r="G16" s="15" t="n"/>
      <c r="H16" s="15" t="n"/>
      <c r="I16" s="18">
        <f>IFERROR(D16*INDEX('Scoring Summary'!$C$6:$C$11,MATCH(E16,'Scoring Summary'!$B$6:$B$11,0)),"")</f>
        <v/>
      </c>
    </row>
    <row r="17" ht="30" customHeight="1">
      <c r="A17" s="13" t="inlineStr">
        <is>
          <t>8.1.7</t>
        </is>
      </c>
      <c r="B17" s="14" t="inlineStr">
        <is>
          <t>Confirm whether a non-production sandbox environment is separately chargeable.</t>
        </is>
      </c>
      <c r="C17" s="17" t="inlineStr">
        <is>
          <t>Should</t>
        </is>
      </c>
      <c r="D17" s="17" t="n">
        <v>3</v>
      </c>
      <c r="E17" s="15" t="n"/>
      <c r="F17" s="15" t="n"/>
      <c r="G17" s="15" t="n"/>
      <c r="H17" s="15" t="n"/>
      <c r="I17" s="18">
        <f>IFERROR(D17*INDEX('Scoring Summary'!$C$6:$C$11,MATCH(E17,'Scoring Summary'!$B$6:$B$11,0)),"")</f>
        <v/>
      </c>
    </row>
    <row r="18">
      <c r="A18" s="11" t="inlineStr">
        <is>
          <t>8.2  Contractual Terms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13" t="inlineStr">
        <is>
          <t>8.2.1</t>
        </is>
      </c>
      <c r="B19" s="14" t="inlineStr">
        <is>
          <t>State your standard contract term and any minimum commitment.</t>
        </is>
      </c>
      <c r="C19" s="17" t="inlineStr">
        <is>
          <t>Must</t>
        </is>
      </c>
      <c r="D19" s="17" t="n">
        <v>4</v>
      </c>
      <c r="E19" s="15" t="n"/>
      <c r="F19" s="15" t="n"/>
      <c r="G19" s="15" t="n"/>
      <c r="H19" s="15" t="n"/>
      <c r="I19" s="18">
        <f>IFERROR(D19*INDEX('Scoring Summary'!$C$6:$C$11,MATCH(E19,'Scoring Summary'!$B$6:$B$11,0)),"")</f>
        <v/>
      </c>
    </row>
    <row r="20" ht="30" customHeight="1">
      <c r="A20" s="13" t="inlineStr">
        <is>
          <t>8.2.2</t>
        </is>
      </c>
      <c r="B20" s="14" t="inlineStr">
        <is>
          <t>Describe termination rights available to the customer, including termination for convenience.</t>
        </is>
      </c>
      <c r="C20" s="17" t="inlineStr">
        <is>
          <t>Must</t>
        </is>
      </c>
      <c r="D20" s="17" t="n">
        <v>4</v>
      </c>
      <c r="E20" s="15" t="n"/>
      <c r="F20" s="15" t="n"/>
      <c r="G20" s="15" t="n"/>
      <c r="H20" s="15" t="n"/>
      <c r="I20" s="18">
        <f>IFERROR(D20*INDEX('Scoring Summary'!$C$6:$C$11,MATCH(E20,'Scoring Summary'!$B$6:$B$11,0)),"")</f>
        <v/>
      </c>
    </row>
    <row r="21" ht="30" customHeight="1">
      <c r="A21" s="13" t="inlineStr">
        <is>
          <t>8.2.3</t>
        </is>
      </c>
      <c r="B21" s="14" t="inlineStr">
        <is>
          <t>State your limitation of liability and confirm whether it can be raised for data protection breaches.</t>
        </is>
      </c>
      <c r="C21" s="17" t="inlineStr">
        <is>
          <t>Must</t>
        </is>
      </c>
      <c r="D21" s="17" t="n">
        <v>5</v>
      </c>
      <c r="E21" s="15" t="n"/>
      <c r="F21" s="15" t="n"/>
      <c r="G21" s="15" t="n"/>
      <c r="H21" s="15" t="n"/>
      <c r="I21" s="18">
        <f>IFERROR(D21*INDEX('Scoring Summary'!$C$6:$C$11,MATCH(E21,'Scoring Summary'!$B$6:$B$11,0)),"")</f>
        <v/>
      </c>
    </row>
    <row r="22">
      <c r="A22" s="11" t="inlineStr">
        <is>
          <t>8.3  Corporate Responsibility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13" t="inlineStr">
        <is>
          <t>8.3.1</t>
        </is>
      </c>
      <c r="B23" s="14" t="inlineStr">
        <is>
          <t>Describe your environmental sustainability programme, including any data centre carbon footprint commitments, offset purchases, or published emissions reporting.</t>
        </is>
      </c>
      <c r="C23" s="17" t="inlineStr">
        <is>
          <t>Should</t>
        </is>
      </c>
      <c r="D23" s="17" t="n">
        <v>2</v>
      </c>
      <c r="E23" s="15" t="n"/>
      <c r="F23" s="15" t="n"/>
      <c r="G23" s="15" t="n"/>
      <c r="H23" s="15" t="n"/>
      <c r="I23" s="18">
        <f>IFERROR(D23*INDEX('Scoring Summary'!$C$6:$C$11,MATCH(E23,'Scoring Summary'!$B$6:$B$11,0)),"")</f>
        <v/>
      </c>
    </row>
    <row r="24" ht="30" customHeight="1">
      <c r="A24" s="13" t="inlineStr">
        <is>
          <t>8.3.2</t>
        </is>
      </c>
      <c r="B24" s="14" t="inlineStr">
        <is>
          <t>State whether you publish a modern slavery or supply chain transparency statement, and provide the URL.</t>
        </is>
      </c>
      <c r="C24" s="17" t="inlineStr">
        <is>
          <t>Nice</t>
        </is>
      </c>
      <c r="D24" s="17" t="n">
        <v>1</v>
      </c>
      <c r="E24" s="15" t="n"/>
      <c r="F24" s="15" t="n"/>
      <c r="G24" s="15" t="n"/>
      <c r="H24" s="15" t="n"/>
      <c r="I24" s="18">
        <f>IFERROR(D24*INDEX('Scoring Summary'!$C$6:$C$11,MATCH(E24,'Scoring Summary'!$B$6:$B$11,0)),"")</f>
        <v/>
      </c>
    </row>
    <row r="25" ht="30" customHeight="1">
      <c r="A25" s="13" t="inlineStr">
        <is>
          <t>8.3.3</t>
        </is>
      </c>
      <c r="B25" s="14" t="inlineStr">
        <is>
          <t>Describe your supplier diversity programme, if any.</t>
        </is>
      </c>
      <c r="C25" s="17" t="inlineStr">
        <is>
          <t>Nice</t>
        </is>
      </c>
      <c r="D25" s="17" t="n">
        <v>1</v>
      </c>
      <c r="E25" s="15" t="n"/>
      <c r="F25" s="15" t="n"/>
      <c r="G25" s="15" t="n"/>
      <c r="H25" s="15" t="n"/>
      <c r="I25" s="18">
        <f>IFERROR(D25*INDEX('Scoring Summary'!$C$6:$C$11,MATCH(E25,'Scoring Summary'!$B$6:$B$11,0)),"")</f>
        <v/>
      </c>
    </row>
  </sheetData>
  <autoFilter ref="A8:I25"/>
  <mergeCells count="4">
    <mergeCell ref="A1:I1"/>
    <mergeCell ref="A18:I18"/>
    <mergeCell ref="A22:I22"/>
    <mergeCell ref="A10:I10"/>
  </mergeCells>
  <dataValidations count="1">
    <dataValidation sqref="E11:E25" showDropDown="0" showInputMessage="0" showErrorMessage="0" allowBlank="1" errorTitle="Invalid compliance level" error="Select one of the six defined compliance levels. See the Instructions tab." type="list">
      <formula1>"Standard,Configuration,Customization,Third-Party,Roadmap,Not Supported"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9" t="inlineStr">
        <is>
          <t>Pricing Workbook - Five Year Total Cost of Ownership</t>
        </is>
      </c>
    </row>
    <row r="2">
      <c r="A2" s="5" t="inlineStr">
        <is>
          <t>Complete the cream input cells only. All totals are calculated. State all amounts in US dollars, exclusive of sales tax.</t>
        </is>
      </c>
    </row>
    <row r="4">
      <c r="A4" s="2" t="inlineStr">
        <is>
          <t>Inputs</t>
        </is>
      </c>
    </row>
    <row r="5">
      <c r="A5" s="3" t="inlineStr">
        <is>
          <t>Tracked customer profiles (year 1)</t>
        </is>
      </c>
      <c r="B5" s="20" t="n">
        <v>2100000</v>
      </c>
    </row>
    <row r="6">
      <c r="A6" s="3" t="inlineStr">
        <is>
          <t>Assumed annual profile growth</t>
        </is>
      </c>
      <c r="B6" s="21" t="n">
        <v>0.2</v>
      </c>
    </row>
    <row r="7">
      <c r="A7" s="3" t="inlineStr">
        <is>
          <t>Annual subscription fee (year 1)</t>
        </is>
      </c>
      <c r="B7" s="22" t="n"/>
    </row>
    <row r="8">
      <c r="A8" s="3" t="inlineStr">
        <is>
          <t>Annual uplift at renewal</t>
        </is>
      </c>
      <c r="B8" s="23" t="n"/>
    </row>
    <row r="9">
      <c r="A9" s="3" t="inlineStr">
        <is>
          <t>One-time implementation fee</t>
        </is>
      </c>
      <c r="B9" s="22" t="n"/>
    </row>
    <row r="10">
      <c r="A10" s="3" t="inlineStr">
        <is>
          <t>Annual support and success fee</t>
        </is>
      </c>
      <c r="B10" s="22" t="n"/>
    </row>
    <row r="11">
      <c r="A11" s="3" t="inlineStr">
        <is>
          <t>Overage rate per profile above tier</t>
        </is>
      </c>
      <c r="B11" s="24" t="n"/>
    </row>
    <row r="12">
      <c r="A12" s="3" t="inlineStr">
        <is>
          <t>Profiles included in contracted tier</t>
        </is>
      </c>
      <c r="B12" s="25" t="n"/>
    </row>
    <row r="13">
      <c r="A13" s="5" t="inlineStr">
        <is>
          <t>Cells shaded cream are vendor inputs. The two grey cells are Alderwood's stated volume assumptions and must not be changed.</t>
        </is>
      </c>
    </row>
    <row r="16">
      <c r="A16" s="26" t="inlineStr">
        <is>
          <t>Cost Line</t>
        </is>
      </c>
      <c r="B16" s="27" t="inlineStr">
        <is>
          <t>Year 1</t>
        </is>
      </c>
      <c r="C16" s="27" t="inlineStr">
        <is>
          <t>Year 2</t>
        </is>
      </c>
      <c r="D16" s="27" t="inlineStr">
        <is>
          <t>Year 3</t>
        </is>
      </c>
      <c r="E16" s="27" t="inlineStr">
        <is>
          <t>Year 4</t>
        </is>
      </c>
      <c r="F16" s="27" t="inlineStr">
        <is>
          <t>Year 5</t>
        </is>
      </c>
      <c r="G16" s="28" t="inlineStr">
        <is>
          <t>5-Year Total</t>
        </is>
      </c>
    </row>
    <row r="17">
      <c r="A17" s="3" t="inlineStr">
        <is>
          <t>Tracked profiles</t>
        </is>
      </c>
      <c r="B17" s="29">
        <f>$B$5</f>
        <v/>
      </c>
      <c r="C17" s="29">
        <f>B17*(1+$B$6)</f>
        <v/>
      </c>
      <c r="D17" s="29">
        <f>C17*(1+$B$6)</f>
        <v/>
      </c>
      <c r="E17" s="29">
        <f>D17*(1+$B$6)</f>
        <v/>
      </c>
      <c r="F17" s="29">
        <f>E17*(1+$B$6)</f>
        <v/>
      </c>
    </row>
    <row r="18">
      <c r="A18" s="3" t="inlineStr">
        <is>
          <t>Subscription fee</t>
        </is>
      </c>
      <c r="B18" s="30">
        <f>$B$7</f>
        <v/>
      </c>
      <c r="C18" s="30">
        <f>B18*(1+$B$8)</f>
        <v/>
      </c>
      <c r="D18" s="30">
        <f>C18*(1+$B$8)</f>
        <v/>
      </c>
      <c r="E18" s="30">
        <f>D18*(1+$B$8)</f>
        <v/>
      </c>
      <c r="F18" s="30">
        <f>E18*(1+$B$8)</f>
        <v/>
      </c>
    </row>
    <row r="19">
      <c r="A19" s="3" t="inlineStr">
        <is>
          <t>Implementation (one time)</t>
        </is>
      </c>
      <c r="B19" s="31">
        <f>$B$9</f>
        <v/>
      </c>
      <c r="C19" s="31" t="n">
        <v>0</v>
      </c>
      <c r="D19" s="31" t="n">
        <v>0</v>
      </c>
      <c r="E19" s="31" t="n">
        <v>0</v>
      </c>
      <c r="F19" s="31" t="n">
        <v>0</v>
      </c>
    </row>
    <row r="20">
      <c r="A20" s="3" t="inlineStr">
        <is>
          <t>Support and success fee</t>
        </is>
      </c>
      <c r="B20" s="30">
        <f>$B$10</f>
        <v/>
      </c>
      <c r="C20" s="30">
        <f>$B$10</f>
        <v/>
      </c>
      <c r="D20" s="30">
        <f>$B$10</f>
        <v/>
      </c>
      <c r="E20" s="30">
        <f>$B$10</f>
        <v/>
      </c>
      <c r="F20" s="30">
        <f>$B$10</f>
        <v/>
      </c>
    </row>
    <row r="21">
      <c r="A21" s="3" t="inlineStr">
        <is>
          <t>Overage charges</t>
        </is>
      </c>
      <c r="B21" s="31">
        <f>MAX(0,B17-$B$12)*$B$11</f>
        <v/>
      </c>
      <c r="C21" s="31">
        <f>MAX(0,C17-$B$12)*$B$11</f>
        <v/>
      </c>
      <c r="D21" s="31">
        <f>MAX(0,D17-$B$12)*$B$11</f>
        <v/>
      </c>
      <c r="E21" s="31">
        <f>MAX(0,E17-$B$12)*$B$11</f>
        <v/>
      </c>
      <c r="F21" s="31">
        <f>MAX(0,F17-$B$12)*$B$11</f>
        <v/>
      </c>
    </row>
    <row r="22">
      <c r="A22" s="32" t="inlineStr">
        <is>
          <t>Total annual cost</t>
        </is>
      </c>
      <c r="B22" s="33">
        <f>B18+B19+B20+B21</f>
        <v/>
      </c>
      <c r="C22" s="33">
        <f>C18+C19+C20+C21</f>
        <v/>
      </c>
      <c r="D22" s="33">
        <f>D18+D19+D20+D21</f>
        <v/>
      </c>
      <c r="E22" s="33">
        <f>E18+E19+E20+E21</f>
        <v/>
      </c>
      <c r="F22" s="33">
        <f>F18+F19+F20+F21</f>
        <v/>
      </c>
      <c r="G22" s="33">
        <f>SUM(B22:F22)</f>
        <v/>
      </c>
    </row>
    <row r="24">
      <c r="A24" s="2" t="inlineStr">
        <is>
          <t>Five-year total cost of ownership</t>
        </is>
      </c>
      <c r="B24" s="34">
        <f>G22</f>
        <v/>
      </c>
    </row>
    <row r="26">
      <c r="A26" s="5" t="inlineStr">
        <is>
          <t>Profile growth of 20 percent per year is Alderwood's planning assumption, stated in section 3.2.2 of the requirements. Overage is charged only on profiles above the contracted tier.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6" customWidth="1" min="4" max="4"/>
    <col width="16" customWidth="1" min="5" max="5"/>
  </cols>
  <sheetData>
    <row r="1">
      <c r="A1" s="19" t="inlineStr">
        <is>
          <t>Scoring Summary</t>
        </is>
      </c>
    </row>
    <row r="2">
      <c r="A2" s="5" t="inlineStr">
        <is>
          <t>Calculated by Alderwood during evaluation. Vendors must not edit this tab. Score per requirement = Weight x the compliance factor below.</t>
        </is>
      </c>
    </row>
    <row r="5">
      <c r="B5" s="26" t="inlineStr">
        <is>
          <t>Compliance Level</t>
        </is>
      </c>
      <c r="C5" s="26" t="inlineStr">
        <is>
          <t>Score Factor</t>
        </is>
      </c>
    </row>
    <row r="6">
      <c r="B6" s="35" t="inlineStr">
        <is>
          <t>Standard</t>
        </is>
      </c>
      <c r="C6" s="36" t="n">
        <v>1</v>
      </c>
    </row>
    <row r="7">
      <c r="B7" s="35" t="inlineStr">
        <is>
          <t>Configuration</t>
        </is>
      </c>
      <c r="C7" s="36" t="n">
        <v>0.8</v>
      </c>
    </row>
    <row r="8">
      <c r="B8" s="35" t="inlineStr">
        <is>
          <t>Customization</t>
        </is>
      </c>
      <c r="C8" s="36" t="n">
        <v>0.5</v>
      </c>
    </row>
    <row r="9">
      <c r="B9" s="35" t="inlineStr">
        <is>
          <t>Third-Party</t>
        </is>
      </c>
      <c r="C9" s="36" t="n">
        <v>0.5</v>
      </c>
    </row>
    <row r="10">
      <c r="B10" s="35" t="inlineStr">
        <is>
          <t>Roadmap</t>
        </is>
      </c>
      <c r="C10" s="36" t="n">
        <v>0.25</v>
      </c>
    </row>
    <row r="11">
      <c r="B11" s="35" t="inlineStr">
        <is>
          <t>Not Supported</t>
        </is>
      </c>
      <c r="C11" s="36" t="n">
        <v>0</v>
      </c>
    </row>
    <row r="13">
      <c r="A13" s="5" t="inlineStr">
        <is>
          <t>Factors above are Alderwood evaluation inputs (shown in blue) and are the only hardcoded numbers on this tab. Every figure below is calculated.</t>
        </is>
      </c>
    </row>
    <row r="15">
      <c r="A15" s="27" t="inlineStr">
        <is>
          <t>Section</t>
        </is>
      </c>
      <c r="B15" s="27" t="inlineStr">
        <is>
          <t>Max Possible</t>
        </is>
      </c>
      <c r="C15" s="27" t="inlineStr">
        <is>
          <t>Vendor Score</t>
        </is>
      </c>
      <c r="D15" s="27" t="inlineStr">
        <is>
          <t>Percent of Max</t>
        </is>
      </c>
    </row>
    <row r="16">
      <c r="A16" s="35" t="inlineStr">
        <is>
          <t>Functional</t>
        </is>
      </c>
      <c r="B16" s="35">
        <f>SUM('Functional'!D11:D90)</f>
        <v/>
      </c>
      <c r="C16" s="35">
        <f>SUM('Functional'!I11:I90)</f>
        <v/>
      </c>
      <c r="D16" s="37">
        <f>IFERROR(C16/B16,0)</f>
        <v/>
      </c>
    </row>
    <row r="17">
      <c r="A17" s="35" t="inlineStr">
        <is>
          <t>Technical</t>
        </is>
      </c>
      <c r="B17" s="35">
        <f>SUM('Technical'!D11:D59)</f>
        <v/>
      </c>
      <c r="C17" s="35">
        <f>SUM('Technical'!I11:I59)</f>
        <v/>
      </c>
      <c r="D17" s="37">
        <f>IFERROR(C17/B17,0)</f>
        <v/>
      </c>
    </row>
    <row r="18">
      <c r="A18" s="35" t="inlineStr">
        <is>
          <t>Security</t>
        </is>
      </c>
      <c r="B18" s="35">
        <f>SUM('Security'!D11:D76)</f>
        <v/>
      </c>
      <c r="C18" s="35">
        <f>SUM('Security'!I11:I76)</f>
        <v/>
      </c>
      <c r="D18" s="37">
        <f>IFERROR(C18/B18,0)</f>
        <v/>
      </c>
    </row>
    <row r="19">
      <c r="A19" s="35" t="inlineStr">
        <is>
          <t>Privacy</t>
        </is>
      </c>
      <c r="B19" s="35">
        <f>SUM('Privacy'!D11:D33)</f>
        <v/>
      </c>
      <c r="C19" s="35">
        <f>SUM('Privacy'!I11:I33)</f>
        <v/>
      </c>
      <c r="D19" s="37">
        <f>IFERROR(C19/B19,0)</f>
        <v/>
      </c>
    </row>
    <row r="20">
      <c r="A20" s="35" t="inlineStr">
        <is>
          <t>Implementation</t>
        </is>
      </c>
      <c r="B20" s="35">
        <f>SUM('Implementation'!D11:D23)</f>
        <v/>
      </c>
      <c r="C20" s="35">
        <f>SUM('Implementation'!I11:I23)</f>
        <v/>
      </c>
      <c r="D20" s="37">
        <f>IFERROR(C20/B20,0)</f>
        <v/>
      </c>
    </row>
    <row r="21">
      <c r="A21" s="35" t="inlineStr">
        <is>
          <t>Support</t>
        </is>
      </c>
      <c r="B21" s="35">
        <f>SUM('Support'!D11:D23)</f>
        <v/>
      </c>
      <c r="C21" s="35">
        <f>SUM('Support'!I11:I23)</f>
        <v/>
      </c>
      <c r="D21" s="37">
        <f>IFERROR(C21/B21,0)</f>
        <v/>
      </c>
    </row>
    <row r="22">
      <c r="A22" s="35" t="inlineStr">
        <is>
          <t>Commercial</t>
        </is>
      </c>
      <c r="B22" s="35">
        <f>SUM('Commercial'!D11:D25)</f>
        <v/>
      </c>
      <c r="C22" s="35">
        <f>SUM('Commercial'!I11:I25)</f>
        <v/>
      </c>
      <c r="D22" s="37">
        <f>IFERROR(C22/B22,0)</f>
        <v/>
      </c>
    </row>
    <row r="23">
      <c r="A23" s="13" t="inlineStr">
        <is>
          <t>Total</t>
        </is>
      </c>
      <c r="B23" s="13">
        <f>SUM(B16:B22)</f>
        <v/>
      </c>
      <c r="C23" s="13">
        <f>SUM(C16:C22)</f>
        <v/>
      </c>
      <c r="D23" s="38">
        <f>IFERROR(C23/B23,0)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60" customWidth="1" min="3" max="3"/>
    <col width="60" customWidth="1" min="4" max="4"/>
    <col width="18" customWidth="1" min="5" max="5"/>
  </cols>
  <sheetData>
    <row r="1">
      <c r="A1" s="19" t="inlineStr">
        <is>
          <t>Exceptions Log</t>
        </is>
      </c>
    </row>
    <row r="2">
      <c r="A2" s="5" t="inlineStr">
        <is>
          <t>Record every exception to Alderwood's stated requirements or contractual terms here. An exception recorded only in a requirement comment will not be considered.</t>
        </is>
      </c>
    </row>
    <row r="4">
      <c r="A4" s="39" t="inlineStr">
        <is>
          <t>Item</t>
        </is>
      </c>
      <c r="B4" s="39" t="inlineStr">
        <is>
          <t>Requirement Ref</t>
        </is>
      </c>
      <c r="C4" s="39" t="inlineStr">
        <is>
          <t>Exception Taken</t>
        </is>
      </c>
      <c r="D4" s="39" t="inlineStr">
        <is>
          <t>Proposed Alternative</t>
        </is>
      </c>
      <c r="E4" s="39" t="inlineStr">
        <is>
          <t>Commercial Impact</t>
        </is>
      </c>
    </row>
    <row r="5">
      <c r="A5" s="10" t="inlineStr">
        <is>
          <t>EXAMPLE</t>
        </is>
      </c>
      <c r="B5" s="10" t="inlineStr">
        <is>
          <t>4.6.2</t>
        </is>
      </c>
      <c r="C5" s="10" t="inlineStr">
        <is>
          <t>(Example row. Do not submit against this row.) Vendor cannot meet the 24-hour incident notification period.</t>
        </is>
      </c>
      <c r="D5" s="10" t="inlineStr">
        <is>
          <t>Vendor proposes notification within 72 hours of confirmation.</t>
        </is>
      </c>
      <c r="E5" s="10" t="inlineStr">
        <is>
          <t>None</t>
        </is>
      </c>
    </row>
    <row r="6">
      <c r="A6" s="15" t="n"/>
      <c r="B6" s="15" t="n"/>
      <c r="C6" s="15" t="n"/>
      <c r="D6" s="15" t="n"/>
      <c r="E6" s="15" t="n"/>
    </row>
    <row r="7">
      <c r="A7" s="15" t="n"/>
      <c r="B7" s="15" t="n"/>
      <c r="C7" s="15" t="n"/>
      <c r="D7" s="15" t="n"/>
      <c r="E7" s="15" t="n"/>
    </row>
    <row r="8">
      <c r="A8" s="15" t="n"/>
      <c r="B8" s="15" t="n"/>
      <c r="C8" s="15" t="n"/>
      <c r="D8" s="15" t="n"/>
      <c r="E8" s="15" t="n"/>
    </row>
    <row r="9">
      <c r="A9" s="15" t="n"/>
      <c r="B9" s="15" t="n"/>
      <c r="C9" s="15" t="n"/>
      <c r="D9" s="15" t="n"/>
      <c r="E9" s="15" t="n"/>
    </row>
    <row r="10">
      <c r="A10" s="15" t="n"/>
      <c r="B10" s="15" t="n"/>
      <c r="C10" s="15" t="n"/>
      <c r="D10" s="15" t="n"/>
      <c r="E10" s="15" t="n"/>
    </row>
    <row r="11">
      <c r="A11" s="15" t="n"/>
      <c r="B11" s="15" t="n"/>
      <c r="C11" s="15" t="n"/>
      <c r="D11" s="15" t="n"/>
      <c r="E11" s="15" t="n"/>
    </row>
    <row r="12">
      <c r="A12" s="15" t="n"/>
      <c r="B12" s="15" t="n"/>
      <c r="C12" s="15" t="n"/>
      <c r="D12" s="15" t="n"/>
      <c r="E12" s="15" t="n"/>
    </row>
    <row r="13">
      <c r="A13" s="15" t="n"/>
      <c r="B13" s="15" t="n"/>
      <c r="C13" s="15" t="n"/>
      <c r="D13" s="15" t="n"/>
      <c r="E13" s="15" t="n"/>
    </row>
    <row r="14">
      <c r="A14" s="15" t="n"/>
      <c r="B14" s="15" t="n"/>
      <c r="C14" s="15" t="n"/>
      <c r="D14" s="15" t="n"/>
      <c r="E14" s="15" t="n"/>
    </row>
    <row r="15">
      <c r="A15" s="15" t="n"/>
      <c r="B15" s="15" t="n"/>
      <c r="C15" s="15" t="n"/>
      <c r="D15" s="15" t="n"/>
      <c r="E15" s="15" t="n"/>
    </row>
    <row r="16">
      <c r="A16" s="15" t="n"/>
      <c r="B16" s="15" t="n"/>
      <c r="C16" s="15" t="n"/>
      <c r="D16" s="15" t="n"/>
      <c r="E16" s="15" t="n"/>
    </row>
    <row r="17">
      <c r="A17" s="15" t="n"/>
      <c r="B17" s="15" t="n"/>
      <c r="C17" s="15" t="n"/>
      <c r="D17" s="15" t="n"/>
      <c r="E17" s="15" t="n"/>
    </row>
    <row r="18">
      <c r="A18" s="15" t="n"/>
      <c r="B18" s="15" t="n"/>
      <c r="C18" s="15" t="n"/>
      <c r="D18" s="15" t="n"/>
      <c r="E18" s="15" t="n"/>
    </row>
    <row r="19">
      <c r="A19" s="15" t="n"/>
      <c r="B19" s="15" t="n"/>
      <c r="C19" s="15" t="n"/>
      <c r="D19" s="15" t="n"/>
      <c r="E19" s="15" t="n"/>
    </row>
    <row r="20">
      <c r="A20" s="15" t="n"/>
      <c r="B20" s="15" t="n"/>
      <c r="C20" s="15" t="n"/>
      <c r="D20" s="15" t="n"/>
      <c r="E20" s="15" t="n"/>
    </row>
    <row r="21">
      <c r="A21" s="15" t="n"/>
      <c r="B21" s="15" t="n"/>
      <c r="C21" s="15" t="n"/>
      <c r="D21" s="15" t="n"/>
      <c r="E21" s="15" t="n"/>
    </row>
    <row r="22">
      <c r="A22" s="15" t="n"/>
      <c r="B22" s="15" t="n"/>
      <c r="C22" s="15" t="n"/>
      <c r="D22" s="15" t="n"/>
      <c r="E22" s="15" t="n"/>
    </row>
    <row r="23">
      <c r="A23" s="15" t="n"/>
      <c r="B23" s="15" t="n"/>
      <c r="C23" s="15" t="n"/>
      <c r="D23" s="15" t="n"/>
      <c r="E23" s="15" t="n"/>
    </row>
    <row r="24">
      <c r="A24" s="15" t="n"/>
      <c r="B24" s="15" t="n"/>
      <c r="C24" s="15" t="n"/>
      <c r="D24" s="15" t="n"/>
      <c r="E24" s="15" t="n"/>
    </row>
    <row r="25">
      <c r="A25" s="15" t="n"/>
      <c r="B25" s="15" t="n"/>
      <c r="C25" s="15" t="n"/>
      <c r="D25" s="15" t="n"/>
      <c r="E25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2026-09-07T23:42:13Z</dcterms:created>
  <dcterms:modified xsi:type="dcterms:W3CDTF">2026-09-07T23:42:13Z</dcterms:modified>
</cp:coreProperties>
</file>